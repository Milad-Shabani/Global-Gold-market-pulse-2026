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tables/table2.xml" ContentType="application/vnd.openxmlformats-officedocument.spreadsheetml.table+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drawings/drawing8.xml" ContentType="application/vnd.openxmlformats-officedocument.drawing+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Reserves by Country" sheetId="2" state="visible" r:id="rId2"/>
    <sheet xmlns:r="http://schemas.openxmlformats.org/officeDocument/2006/relationships" name="Reserve History" sheetId="3" state="visible" r:id="rId3"/>
    <sheet xmlns:r="http://schemas.openxmlformats.org/officeDocument/2006/relationships" name="Buyers &amp; Sellers" sheetId="4" state="visible" r:id="rId4"/>
    <sheet xmlns:r="http://schemas.openxmlformats.org/officeDocument/2006/relationships" name="CBGA Era" sheetId="5" state="visible" r:id="rId5"/>
    <sheet xmlns:r="http://schemas.openxmlformats.org/officeDocument/2006/relationships" name="Production" sheetId="6" state="visible" r:id="rId6"/>
    <sheet xmlns:r="http://schemas.openxmlformats.org/officeDocument/2006/relationships" name="Price History" sheetId="7" state="visible" r:id="rId7"/>
    <sheet xmlns:r="http://schemas.openxmlformats.org/officeDocument/2006/relationships" name="Demand &amp; Supply" sheetId="8" state="visible" r:id="rId8"/>
    <sheet xmlns:r="http://schemas.openxmlformats.org/officeDocument/2006/relationships" name="Forecast" sheetId="9" state="visible" r:id="rId9"/>
    <sheet xmlns:r="http://schemas.openxmlformats.org/officeDocument/2006/relationships" name="Sources" sheetId="10" state="visible" r:id="rId10"/>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
  </numFmts>
  <fonts count="6">
    <font>
      <name val="Calibri"/>
      <family val="2"/>
      <color theme="1"/>
      <sz val="11"/>
      <scheme val="minor"/>
    </font>
    <font>
      <b val="1"/>
      <color rgb="008B6508"/>
      <sz val="16"/>
    </font>
    <font>
      <i val="1"/>
      <color rgb="006B5B3A"/>
      <sz val="10"/>
    </font>
    <font>
      <b val="1"/>
      <color rgb="00FFFFFF"/>
      <sz val="11"/>
    </font>
    <font>
      <b val="1"/>
      <color rgb="008B6508"/>
    </font>
    <font>
      <b val="1"/>
    </font>
  </fonts>
  <fills count="3">
    <fill>
      <patternFill/>
    </fill>
    <fill>
      <patternFill patternType="gray125"/>
    </fill>
    <fill>
      <patternFill patternType="solid">
        <fgColor rgb="00B8860B"/>
      </patternFill>
    </fill>
  </fills>
  <borders count="2">
    <border>
      <left/>
      <right/>
      <top/>
      <bottom/>
      <diagonal/>
    </border>
    <border>
      <left style="thin">
        <color rgb="00D9CBA0"/>
      </left>
      <right style="thin">
        <color rgb="00D9CBA0"/>
      </right>
      <top style="thin">
        <color rgb="00D9CBA0"/>
      </top>
      <bottom style="thin">
        <color rgb="00D9CBA0"/>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wrapText="1"/>
    </xf>
    <xf numFmtId="0" fontId="3" fillId="2" borderId="1" applyAlignment="1" pivotButton="0" quotePrefix="0" xfId="0">
      <alignment horizontal="center" vertical="center"/>
    </xf>
    <xf numFmtId="0" fontId="0" fillId="0" borderId="1" pivotButton="0" quotePrefix="0" xfId="0"/>
    <xf numFmtId="0" fontId="4" fillId="0" borderId="1" pivotButton="0" quotePrefix="0" xfId="0"/>
    <xf numFmtId="0" fontId="2" fillId="0" borderId="0" pivotButton="0" quotePrefix="0" xfId="0"/>
    <xf numFmtId="164" fontId="0" fillId="0" borderId="1" pivotButton="0" quotePrefix="0" xfId="0"/>
    <xf numFmtId="165" fontId="0" fillId="0" borderId="1" pivotButton="0" quotePrefix="0" xfId="0"/>
    <xf numFmtId="10" fontId="0" fillId="0" borderId="1" pivotButton="0" quotePrefix="0" xfId="0"/>
    <xf numFmtId="0" fontId="5" fillId="0" borderId="0" pivotButton="0" quotePrefix="0" xfId="0"/>
    <xf numFmtId="164" fontId="0" fillId="0" borderId="0" pivotButton="0" quotePrefix="0" xfId="0"/>
    <xf numFmtId="0" fontId="4" fillId="0" borderId="0" pivotButton="0" quotePrefix="0" xfId="0"/>
    <xf numFmtId="165" fontId="0" fillId="0" borderId="0" pivotButton="0" quotePrefix="0" xfId="0"/>
    <xf numFmtId="0" fontId="3" fillId="2" borderId="0" pivotButton="0" quotePrefix="0" xfId="0"/>
    <xf numFmtId="3" fontId="0" fillId="0" borderId="0" pivotButton="0" quotePrefix="0" xfId="0"/>
    <xf numFmtId="166"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Gold as % of FX Reserves - Top 15</a:t>
            </a:r>
          </a:p>
        </rich>
      </tx>
    </title>
    <plotArea>
      <barChart>
        <barDir val="col"/>
        <grouping val="clustered"/>
        <ser>
          <idx val="0"/>
          <order val="0"/>
          <tx>
            <strRef>
              <f>'Reserves by Country'!B49</f>
            </strRef>
          </tx>
          <spPr>
            <a:ln xmlns:a="http://schemas.openxmlformats.org/drawingml/2006/main">
              <a:prstDash val="solid"/>
            </a:ln>
          </spPr>
          <cat>
            <numRef>
              <f>'Reserves by Country'!$A$50:$A$64</f>
            </numRef>
          </cat>
          <val>
            <numRef>
              <f>'Reserves by Country'!$B$50:$B$64</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2.xml><?xml version="1.0" encoding="utf-8"?>
<chartSpace xmlns="http://schemas.openxmlformats.org/drawingml/2006/chart">
  <style val="26"/>
  <chart>
    <title>
      <tx>
        <rich>
          <a:bodyPr xmlns:a="http://schemas.openxmlformats.org/drawingml/2006/main"/>
          <a:p xmlns:a="http://schemas.openxmlformats.org/drawingml/2006/main">
            <a:pPr>
              <a:defRPr/>
            </a:pPr>
            <a:r>
              <a:t>Top 15 Countries by Official Gold Reserves (tonnes)</a:t>
            </a:r>
          </a:p>
        </rich>
      </tx>
    </title>
    <plotArea>
      <barChart>
        <barDir val="col"/>
        <grouping val="clustered"/>
        <ser>
          <idx val="0"/>
          <order val="0"/>
          <tx>
            <strRef>
              <f>'Reserves by Country'!C4</f>
            </strRef>
          </tx>
          <spPr>
            <a:ln xmlns:a="http://schemas.openxmlformats.org/drawingml/2006/main">
              <a:prstDash val="solid"/>
            </a:ln>
          </spPr>
          <cat>
            <numRef>
              <f>'Reserves by Country'!$B$5:$B$19</f>
            </numRef>
          </cat>
          <val>
            <numRef>
              <f>'Reserves by Country'!$C$5:$C$19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Tonnes</a:t>
                </a:r>
              </a:p>
            </rich>
          </tx>
        </title>
        <majorTickMark val="none"/>
        <minorTickMark val="none"/>
        <crossAx val="10"/>
      </valAx>
    </plotArea>
    <legend>
      <legendPos val="r"/>
    </legend>
    <plotVisOnly val="1"/>
    <dispBlanksAs val="gap"/>
  </chart>
</chartSpace>
</file>

<file path=xl/charts/chart3.xml><?xml version="1.0" encoding="utf-8"?>
<chartSpace xmlns="http://schemas.openxmlformats.org/drawingml/2006/chart">
  <style val="12"/>
  <chart>
    <title>
      <tx>
        <rich>
          <a:bodyPr xmlns:a="http://schemas.openxmlformats.org/drawingml/2006/main"/>
          <a:p xmlns:a="http://schemas.openxmlformats.org/drawingml/2006/main">
            <a:pPr>
              <a:defRPr/>
            </a:pPr>
            <a:r>
              <a:t>World Official Gold Reserves, 2000-2026 (CBGA selling era -&gt; buying era)</a:t>
            </a:r>
          </a:p>
        </rich>
      </tx>
    </title>
    <plotArea>
      <lineChart>
        <grouping val="standard"/>
        <ser>
          <idx val="0"/>
          <order val="0"/>
          <tx>
            <strRef>
              <f>'Reserve History'!B4</f>
            </strRef>
          </tx>
          <spPr>
            <a:ln xmlns:a="http://schemas.openxmlformats.org/drawingml/2006/main">
              <a:prstDash val="solid"/>
            </a:ln>
          </spPr>
          <marker>
            <symbol val="none"/>
            <spPr>
              <a:ln xmlns:a="http://schemas.openxmlformats.org/drawingml/2006/main">
                <a:prstDash val="solid"/>
              </a:ln>
            </spPr>
          </marker>
          <cat>
            <numRef>
              <f>'Reserve History'!$A$5:$A$31</f>
            </numRef>
          </cat>
          <val>
            <numRef>
              <f>'Reserve History'!$B$5:$B$31</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Tonnes</a:t>
                </a:r>
              </a:p>
            </rich>
          </tx>
        </title>
        <majorTickMark val="none"/>
        <minorTickMark val="none"/>
        <crossAx val="10"/>
      </valAx>
    </plotArea>
    <legend>
      <legendPos val="r"/>
    </legend>
    <plotVisOnly val="1"/>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Top Cumulative Central-Bank Buyers, 2023-2025 (tonnes)</a:t>
            </a:r>
          </a:p>
        </rich>
      </tx>
    </title>
    <plotArea>
      <barChart>
        <barDir val="bar"/>
        <grouping val="clustered"/>
        <ser>
          <idx val="0"/>
          <order val="0"/>
          <tx>
            <strRef>
              <f>'Buyers &amp; Sellers'!B19</f>
            </strRef>
          </tx>
          <spPr>
            <a:ln xmlns:a="http://schemas.openxmlformats.org/drawingml/2006/main">
              <a:prstDash val="solid"/>
            </a:ln>
          </spPr>
          <cat>
            <numRef>
              <f>'Buyers &amp; Sellers'!$A$20:$A$29</f>
            </numRef>
          </cat>
          <val>
            <numRef>
              <f>'Buyers &amp; Sellers'!$B$20:$B$29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5.xml><?xml version="1.0" encoding="utf-8"?>
<chartSpace xmlns="http://schemas.openxmlformats.org/drawingml/2006/chart">
  <chart>
    <title>
      <tx>
        <rich>
          <a:bodyPr xmlns:a="http://schemas.openxmlformats.org/drawingml/2006/main"/>
          <a:p xmlns:a="http://schemas.openxmlformats.org/drawingml/2006/main">
            <a:pPr>
              <a:defRPr/>
            </a:pPr>
            <a:r>
              <a:t>Poland: Gold Reserve Build, 2017-2026</a:t>
            </a:r>
          </a:p>
        </rich>
      </tx>
    </title>
    <plotArea>
      <lineChart>
        <grouping val="standard"/>
        <ser>
          <idx val="0"/>
          <order val="0"/>
          <tx>
            <strRef>
              <f>'Buyers &amp; Sellers'!B31</f>
            </strRef>
          </tx>
          <spPr>
            <a:ln xmlns:a="http://schemas.openxmlformats.org/drawingml/2006/main">
              <a:prstDash val="solid"/>
            </a:ln>
          </spPr>
          <marker>
            <symbol val="none"/>
            <spPr>
              <a:ln xmlns:a="http://schemas.openxmlformats.org/drawingml/2006/main">
                <a:prstDash val="solid"/>
              </a:ln>
            </spPr>
          </marker>
          <cat>
            <numRef>
              <f>'Buyers &amp; Sellers'!$A$32:$A$38</f>
            </numRef>
          </cat>
          <val>
            <numRef>
              <f>'Buyers &amp; Sellers'!$B$32:$B$38</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6.xml><?xml version="1.0" encoding="utf-8"?>
<chartSpace xmlns="http://schemas.openxmlformats.org/drawingml/2006/chart">
  <chart>
    <title>
      <tx>
        <rich>
          <a:bodyPr xmlns:a="http://schemas.openxmlformats.org/drawingml/2006/main"/>
          <a:p xmlns:a="http://schemas.openxmlformats.org/drawingml/2006/main">
            <a:pPr>
              <a:defRPr/>
            </a:pPr>
            <a:r>
              <a:t>CBGA Reported Gold Sales by Agreement Year (tonnes)</a:t>
            </a:r>
          </a:p>
        </rich>
      </tx>
    </title>
    <plotArea>
      <lineChart>
        <grouping val="standard"/>
        <ser>
          <idx val="0"/>
          <order val="0"/>
          <tx>
            <strRef>
              <f>'CBGA Era'!B5</f>
            </strRef>
          </tx>
          <spPr>
            <a:ln xmlns:a="http://schemas.openxmlformats.org/drawingml/2006/main">
              <a:prstDash val="solid"/>
            </a:ln>
          </spPr>
          <marker>
            <symbol val="none"/>
            <spPr>
              <a:ln xmlns:a="http://schemas.openxmlformats.org/drawingml/2006/main">
                <a:prstDash val="solid"/>
              </a:ln>
            </spPr>
          </marker>
          <cat>
            <numRef>
              <f>'CBGA Era'!$A$6:$A$25</f>
            </numRef>
          </cat>
          <val>
            <numRef>
              <f>'CBGA Era'!$B$6:$B$25</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7.xml><?xml version="1.0" encoding="utf-8"?>
<chartSpace xmlns="http://schemas.openxmlformats.org/drawingml/2006/chart">
  <chart>
    <title>
      <tx>
        <rich>
          <a:bodyPr xmlns:a="http://schemas.openxmlformats.org/drawingml/2006/main"/>
          <a:p xmlns:a="http://schemas.openxmlformats.org/drawingml/2006/main">
            <a:pPr>
              <a:defRPr/>
            </a:pPr>
            <a:r>
              <a:t>Top Sellers Under CBGA1</a:t>
            </a:r>
          </a:p>
        </rich>
      </tx>
    </title>
    <plotArea>
      <barChart>
        <barDir val="col"/>
        <grouping val="clustered"/>
        <ser>
          <idx val="0"/>
          <order val="0"/>
          <tx>
            <strRef>
              <f>'CBGA Era'!B29</f>
            </strRef>
          </tx>
          <spPr>
            <a:ln xmlns:a="http://schemas.openxmlformats.org/drawingml/2006/main">
              <a:prstDash val="solid"/>
            </a:ln>
          </spPr>
          <cat>
            <numRef>
              <f>'CBGA Era'!$A$30:$A$35</f>
            </numRef>
          </cat>
          <val>
            <numRef>
              <f>'CBGA Era'!$B$30:$B$35</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8.xml><?xml version="1.0" encoding="utf-8"?>
<chartSpace xmlns="http://schemas.openxmlformats.org/drawingml/2006/chart">
  <chart>
    <title>
      <tx>
        <rich>
          <a:bodyPr xmlns:a="http://schemas.openxmlformats.org/drawingml/2006/main"/>
          <a:p xmlns:a="http://schemas.openxmlformats.org/drawingml/2006/main">
            <a:pPr>
              <a:defRPr/>
            </a:pPr>
            <a:r>
              <a:t>Gold Mine Production Share by Country (2025 est.)</a:t>
            </a:r>
          </a:p>
        </rich>
      </tx>
    </title>
    <plotArea>
      <pieChart>
        <varyColors val="1"/>
        <ser>
          <idx val="0"/>
          <order val="0"/>
          <tx>
            <strRef>
              <f>'Production'!B4</f>
            </strRef>
          </tx>
          <spPr>
            <a:ln xmlns:a="http://schemas.openxmlformats.org/drawingml/2006/main">
              <a:prstDash val="solid"/>
            </a:ln>
          </spPr>
          <cat>
            <numRef>
              <f>'Production'!$A$5:$A$19</f>
            </numRef>
          </cat>
          <val>
            <numRef>
              <f>'Production'!$B$5:$B$19</f>
            </numRef>
          </val>
        </ser>
        <firstSliceAng val="0"/>
      </pieChart>
    </plotArea>
    <legend>
      <legendPos val="r"/>
    </legend>
    <plotVisOnly val="1"/>
    <dispBlanksAs val="gap"/>
  </chart>
</chartSpace>
</file>

<file path=xl/charts/chart9.xml><?xml version="1.0" encoding="utf-8"?>
<chartSpace xmlns="http://schemas.openxmlformats.org/drawingml/2006/chart">
  <chart>
    <title>
      <tx>
        <rich>
          <a:bodyPr xmlns:a="http://schemas.openxmlformats.org/drawingml/2006/main"/>
          <a:p xmlns:a="http://schemas.openxmlformats.org/drawingml/2006/main">
            <a:pPr>
              <a:defRPr/>
            </a:pPr>
            <a:r>
              <a:t>Gold Price, Annual Average 2010-2025 (USD/oz)</a:t>
            </a:r>
          </a:p>
        </rich>
      </tx>
    </title>
    <plotArea>
      <lineChart>
        <grouping val="standard"/>
        <ser>
          <idx val="0"/>
          <order val="0"/>
          <tx>
            <strRef>
              <f>'Price History'!B4</f>
            </strRef>
          </tx>
          <spPr>
            <a:ln xmlns:a="http://schemas.openxmlformats.org/drawingml/2006/main">
              <a:prstDash val="solid"/>
            </a:ln>
          </spPr>
          <marker>
            <symbol val="none"/>
            <spPr>
              <a:ln xmlns:a="http://schemas.openxmlformats.org/drawingml/2006/main">
                <a:prstDash val="solid"/>
              </a:ln>
            </spPr>
          </marker>
          <cat>
            <numRef>
              <f>'Price History'!$A$5:$A$20</f>
            </numRef>
          </cat>
          <val>
            <numRef>
              <f>'Price History'!$B$5:$B$20</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Central Bank Net Purchases vs Gold Price, 2019-2025</a:t>
            </a:r>
          </a:p>
        </rich>
      </tx>
    </title>
    <plotArea>
      <barChart>
        <barDir val="col"/>
        <grouping val="clustered"/>
        <ser>
          <idx val="0"/>
          <order val="0"/>
          <tx>
            <strRef>
              <f>'Price History'!B24</f>
            </strRef>
          </tx>
          <spPr>
            <a:ln xmlns:a="http://schemas.openxmlformats.org/drawingml/2006/main">
              <a:prstDash val="solid"/>
            </a:ln>
          </spPr>
          <cat>
            <numRef>
              <f>'Price History'!$A$25:$A$31</f>
            </numRef>
          </cat>
          <val>
            <numRef>
              <f>'Price History'!$B$25:$B$31</f>
            </numRef>
          </val>
        </ser>
        <gapWidth val="150"/>
        <axId val="10"/>
        <axId val="100"/>
      </barChart>
      <lineChart>
        <grouping val="standard"/>
        <ser>
          <idx val="1"/>
          <order val="1"/>
          <tx>
            <strRef>
              <f>'Price History'!C24</f>
            </strRef>
          </tx>
          <spPr>
            <a:ln xmlns:a="http://schemas.openxmlformats.org/drawingml/2006/main">
              <a:prstDash val="solid"/>
            </a:ln>
          </spPr>
          <marker>
            <symbol val="none"/>
            <spPr>
              <a:ln xmlns:a="http://schemas.openxmlformats.org/drawingml/2006/main">
                <a:prstDash val="solid"/>
              </a:ln>
            </spPr>
          </marker>
          <val>
            <numRef>
              <f>'Price History'!$C$25:$C$31</f>
            </numRef>
          </val>
        </ser>
        <axId val="10"/>
        <axId val="2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USD/oz</a:t>
                </a:r>
              </a:p>
            </rich>
          </tx>
        </title>
        <majorTickMark val="none"/>
        <minorTickMark val="none"/>
        <crossAx val="10"/>
        <crosses val="max"/>
      </valAx>
    </plotArea>
    <legend>
      <legendPos val="r"/>
    </legend>
    <plotVisOnly val="1"/>
    <dispBlanksAs val="gap"/>
  </chart>
</chartSpace>
</file>

<file path=xl/charts/chart11.xml><?xml version="1.0" encoding="utf-8"?>
<chartSpace xmlns="http://schemas.openxmlformats.org/drawingml/2006/chart">
  <chart>
    <title>
      <tx>
        <rich>
          <a:bodyPr xmlns:a="http://schemas.openxmlformats.org/drawingml/2006/main"/>
          <a:p xmlns:a="http://schemas.openxmlformats.org/drawingml/2006/main">
            <a:pPr>
              <a:defRPr/>
            </a:pPr>
            <a:r>
              <a:t>Global Gold Demand by Sector - FY2025 (5,002 t)</a:t>
            </a:r>
          </a:p>
        </rich>
      </tx>
    </title>
    <plotArea>
      <pieChart>
        <varyColors val="1"/>
        <ser>
          <idx val="0"/>
          <order val="0"/>
          <tx>
            <strRef>
              <f>'Demand &amp; Supply'!B4</f>
            </strRef>
          </tx>
          <spPr>
            <a:ln xmlns:a="http://schemas.openxmlformats.org/drawingml/2006/main">
              <a:prstDash val="solid"/>
            </a:ln>
          </spPr>
          <cat>
            <numRef>
              <f>'Demand &amp; Supply'!$A$5:$A$10</f>
            </numRef>
          </cat>
          <val>
            <numRef>
              <f>'Demand &amp; Supply'!$B$5:$B$10</f>
            </numRef>
          </val>
        </ser>
        <firstSliceAng val="0"/>
      </pieChart>
    </plotArea>
    <legend>
      <legendPos val="r"/>
    </legend>
    <plotVisOnly val="1"/>
    <dispBlanksAs val="gap"/>
  </chart>
</chartSpace>
</file>

<file path=xl/charts/chart12.xml><?xml version="1.0" encoding="utf-8"?>
<chartSpace xmlns="http://schemas.openxmlformats.org/drawingml/2006/chart">
  <chart>
    <title>
      <tx>
        <rich>
          <a:bodyPr xmlns:a="http://schemas.openxmlformats.org/drawingml/2006/main"/>
          <a:p xmlns:a="http://schemas.openxmlformats.org/drawingml/2006/main">
            <a:pPr>
              <a:defRPr/>
            </a:pPr>
            <a:r>
              <a:t>Illustrative Price Trend-Projection, 2026-2030</a:t>
            </a:r>
          </a:p>
        </rich>
      </tx>
    </title>
    <plotArea>
      <lineChart>
        <grouping val="standard"/>
        <ser>
          <idx val="0"/>
          <order val="0"/>
          <tx>
            <strRef>
              <f>'Forecast'!B8</f>
            </strRef>
          </tx>
          <spPr>
            <a:ln xmlns:a="http://schemas.openxmlformats.org/drawingml/2006/main">
              <a:prstDash val="solid"/>
            </a:ln>
          </spPr>
          <marker>
            <symbol val="none"/>
            <spPr>
              <a:ln xmlns:a="http://schemas.openxmlformats.org/drawingml/2006/main">
                <a:prstDash val="solid"/>
              </a:ln>
            </spPr>
          </marker>
          <cat>
            <numRef>
              <f>'Forecast'!$A$9:$A$13</f>
            </numRef>
          </cat>
          <val>
            <numRef>
              <f>'Forecast'!$B$9:$B$13</f>
            </numRef>
          </val>
        </ser>
        <axId val="10"/>
        <axId val="100"/>
      </line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s>
</file>

<file path=xl/drawings/_rels/drawing3.xml.rels><Relationships xmlns="http://schemas.openxmlformats.org/package/2006/relationships"><Relationship Type="http://schemas.openxmlformats.org/officeDocument/2006/relationships/chart" Target="/xl/charts/chart4.xml" Id="rId1"/><Relationship Type="http://schemas.openxmlformats.org/officeDocument/2006/relationships/chart" Target="/xl/charts/chart5.xml" Id="rId2"/></Relationships>
</file>

<file path=xl/drawings/_rels/drawing4.xml.rels><Relationships xmlns="http://schemas.openxmlformats.org/package/2006/relationships"><Relationship Type="http://schemas.openxmlformats.org/officeDocument/2006/relationships/chart" Target="/xl/charts/chart6.xml" Id="rId1"/><Relationship Type="http://schemas.openxmlformats.org/officeDocument/2006/relationships/chart" Target="/xl/charts/chart7.xml" Id="rId2"/></Relationships>
</file>

<file path=xl/drawings/_rels/drawing5.xml.rels><Relationships xmlns="http://schemas.openxmlformats.org/package/2006/relationships"><Relationship Type="http://schemas.openxmlformats.org/officeDocument/2006/relationships/chart" Target="/xl/charts/chart8.xml" Id="rId1"/></Relationships>
</file>

<file path=xl/drawings/_rels/drawing6.xml.rels><Relationships xmlns="http://schemas.openxmlformats.org/package/2006/relationships"><Relationship Type="http://schemas.openxmlformats.org/officeDocument/2006/relationships/chart" Target="/xl/charts/chart9.xml" Id="rId1"/><Relationship Type="http://schemas.openxmlformats.org/officeDocument/2006/relationships/chart" Target="/xl/charts/chart10.xml" Id="rId2"/></Relationships>
</file>

<file path=xl/drawings/_rels/drawing7.xml.rels><Relationships xmlns="http://schemas.openxmlformats.org/package/2006/relationships"><Relationship Type="http://schemas.openxmlformats.org/officeDocument/2006/relationships/chart" Target="/xl/charts/chart11.xml" Id="rId1"/></Relationships>
</file>

<file path=xl/drawings/_rels/drawing8.xml.rels><Relationships xmlns="http://schemas.openxmlformats.org/package/2006/relationships"><Relationship Type="http://schemas.openxmlformats.org/officeDocument/2006/relationships/chart" Target="/xl/charts/chart12.xml" Id="rId1"/></Relationships>
</file>

<file path=xl/drawings/drawing1.xml><?xml version="1.0" encoding="utf-8"?>
<wsDr xmlns="http://schemas.openxmlformats.org/drawingml/2006/spreadsheetDrawing">
  <oneCellAnchor>
    <from>
      <col>7</col>
      <colOff>0</colOff>
      <row>23</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3</row>
      <rowOff>0</rowOff>
    </from>
    <ext cx="864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2.xml><?xml version="1.0" encoding="utf-8"?>
<wsDr xmlns="http://schemas.openxmlformats.org/drawingml/2006/spreadsheetDrawing">
  <oneCellAnchor>
    <from>
      <col>3</col>
      <colOff>0</colOff>
      <row>3</row>
      <rowOff>0</rowOff>
    </from>
    <ext cx="936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3.xml><?xml version="1.0" encoding="utf-8"?>
<wsDr xmlns="http://schemas.openxmlformats.org/drawingml/2006/spreadsheetDrawing">
  <oneCellAnchor>
    <from>
      <col>6</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6</col>
      <colOff>0</colOff>
      <row>21</row>
      <rowOff>0</rowOff>
    </from>
    <ext cx="720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4</col>
      <colOff>0</colOff>
      <row>4</row>
      <rowOff>0</rowOff>
    </from>
    <ext cx="864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30</row>
      <rowOff>0</rowOff>
    </from>
    <ext cx="648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5</col>
      <colOff>0</colOff>
      <row>3</row>
      <rowOff>0</rowOff>
    </from>
    <ext cx="72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6.xml><?xml version="1.0" encoding="utf-8"?>
<wsDr xmlns="http://schemas.openxmlformats.org/drawingml/2006/spreadsheetDrawing">
  <oneCellAnchor>
    <from>
      <col>4</col>
      <colOff>0</colOff>
      <row>3</row>
      <rowOff>0</rowOff>
    </from>
    <ext cx="792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23</row>
      <rowOff>0</rowOff>
    </from>
    <ext cx="7920000" cy="43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4</col>
      <colOff>0</colOff>
      <row>3</row>
      <rowOff>0</rowOff>
    </from>
    <ext cx="720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4</col>
      <colOff>0</colOff>
      <row>3</row>
      <rowOff>0</rowOff>
    </from>
    <ext cx="7200000" cy="39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ReservesTable" displayName="ReservesTable" ref="A4:F34" headerRowCount="1">
  <autoFilter ref="A4:F34"/>
  <tableColumns count="6">
    <tableColumn id="1" name="IFS Rank"/>
    <tableColumn id="2" name="Country"/>
    <tableColumn id="3" name="Tonnes"/>
    <tableColumn id="4" name="% of FX reserves"/>
    <tableColumn id="5" name="% of world total"/>
    <tableColumn id="6" name="Holdings as of"/>
  </tableColumns>
  <tableStyleInfo name="TableStyleMedium7" showFirstColumn="0" showRowStripes="1"/>
</table>
</file>

<file path=xl/tables/table2.xml><?xml version="1.0" encoding="utf-8"?>
<table xmlns="http://schemas.openxmlformats.org/spreadsheetml/2006/main" id="2" name="ProductionTable" displayName="ProductionTable" ref="A4:C19" headerRowCount="1">
  <autoFilter ref="A4:C19"/>
  <tableColumns count="3">
    <tableColumn id="1" name="Country"/>
    <tableColumn id="2" name="Tonnes (2025 est.)"/>
    <tableColumn id="3" name="% of world production"/>
  </tableColumns>
  <tableStyleInfo name="TableStyleMedium7" showFirstColumn="0"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table" Target="/xl/tables/table1.xml" Id="rId2"/></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_rels/sheet4.xml.rels><Relationships xmlns="http://schemas.openxmlformats.org/package/2006/relationships"><Relationship Type="http://schemas.openxmlformats.org/officeDocument/2006/relationships/drawing" Target="/xl/drawings/drawing3.xml" Id="rId1"/></Relationships>
</file>

<file path=xl/worksheets/_rels/sheet5.xml.rels><Relationships xmlns="http://schemas.openxmlformats.org/package/2006/relationships"><Relationship Type="http://schemas.openxmlformats.org/officeDocument/2006/relationships/drawing" Target="/xl/drawings/drawing4.xml" Id="rId1"/></Relationships>
</file>

<file path=xl/worksheets/_rels/sheet6.xml.rels><Relationships xmlns="http://schemas.openxmlformats.org/package/2006/relationships"><Relationship Type="http://schemas.openxmlformats.org/officeDocument/2006/relationships/drawing" Target="/xl/drawings/drawing5.xml" Id="rId1"/><Relationship Type="http://schemas.openxmlformats.org/officeDocument/2006/relationships/table" Target="/xl/tables/table2.xml" Id="rId2"/></Relationships>
</file>

<file path=xl/worksheets/_rels/sheet7.xml.rels><Relationships xmlns="http://schemas.openxmlformats.org/package/2006/relationships"><Relationship Type="http://schemas.openxmlformats.org/officeDocument/2006/relationships/drawing" Target="/xl/drawings/drawing6.xml" Id="rId1"/></Relationships>
</file>

<file path=xl/worksheets/_rels/sheet8.xml.rels><Relationships xmlns="http://schemas.openxmlformats.org/package/2006/relationships"><Relationship Type="http://schemas.openxmlformats.org/officeDocument/2006/relationships/drawing" Target="/xl/drawings/drawing7.xml" Id="rId1"/></Relationships>
</file>

<file path=xl/worksheets/_rels/sheet9.xml.rels><Relationships xmlns="http://schemas.openxmlformats.org/package/2006/relationships"><Relationship Type="http://schemas.openxmlformats.org/officeDocument/2006/relationships/drawing" Target="/xl/drawings/drawing8.xml" Id="rId1"/></Relationships>
</file>

<file path=xl/worksheets/sheet1.xml><?xml version="1.0" encoding="utf-8"?>
<worksheet xmlns="http://schemas.openxmlformats.org/spreadsheetml/2006/main">
  <sheetPr>
    <outlinePr summaryBelow="1" summaryRight="1"/>
    <pageSetUpPr/>
  </sheetPr>
  <dimension ref="A1:F12"/>
  <sheetViews>
    <sheetView showGridLines="0" workbookViewId="0">
      <selection activeCell="A1" sqref="A1"/>
    </sheetView>
  </sheetViews>
  <sheetFormatPr baseColWidth="8" defaultRowHeight="15"/>
  <cols>
    <col width="34" customWidth="1" min="1" max="1"/>
    <col width="46" customWidth="1" min="2" max="2"/>
    <col width="34" customWidth="1" min="3" max="3"/>
  </cols>
  <sheetData>
    <row r="1">
      <c r="A1" s="1" t="inlineStr">
        <is>
          <t>Global Gold Market Pulse</t>
        </is>
      </c>
    </row>
    <row r="2" ht="30" customHeight="1">
      <c r="A2" s="2" t="inlineStr">
        <is>
          <t>Reserve figures are the World Gold Council / IMF IFS official dataset as of the September 2026 IFS publication (user-supplied source files). Production, price and demand figures are compiled from USGS and World Gold Council Gold Demand Trends. See the Sources sheet / dashboard footer for exact citations and 'as of' dates for every table.</t>
        </is>
      </c>
    </row>
    <row r="4">
      <c r="A4" s="3" t="inlineStr">
        <is>
          <t>Metric</t>
        </is>
      </c>
      <c r="B4" s="3" t="inlineStr">
        <is>
          <t>Value</t>
        </is>
      </c>
      <c r="C4" s="3" t="inlineStr">
        <is>
          <t>Source</t>
        </is>
      </c>
    </row>
    <row r="5">
      <c r="A5" s="4" t="inlineStr">
        <is>
          <t>World official gold reserves</t>
        </is>
      </c>
      <c r="B5" s="5" t="inlineStr">
        <is>
          <t>36,829.3 t</t>
        </is>
      </c>
      <c r="C5" s="4" t="inlineStr">
        <is>
          <t>IMF IFS, Sep 2026</t>
        </is>
      </c>
    </row>
    <row r="6">
      <c r="A6" s="4" t="inlineStr">
        <is>
          <t>Largest holder</t>
        </is>
      </c>
      <c r="B6" s="5" t="inlineStr">
        <is>
          <t>United States - 8,133.5 t (22.1% of world total)</t>
        </is>
      </c>
      <c r="C6" s="4" t="inlineStr">
        <is>
          <t>IMF IFS, Jul 2026</t>
        </is>
      </c>
    </row>
    <row r="7">
      <c r="A7" s="4" t="inlineStr">
        <is>
          <t>Fastest-growing large holder (3yr)</t>
        </is>
      </c>
      <c r="B7" s="5" t="inlineStr">
        <is>
          <t>Poland +321.5 t (2023-2025)</t>
        </is>
      </c>
      <c r="C7" s="4" t="inlineStr">
        <is>
          <t>IMF IFS Annual Changes</t>
        </is>
      </c>
    </row>
    <row r="8">
      <c r="A8" s="4" t="inlineStr">
        <is>
          <t>2025 gold price (avg)</t>
        </is>
      </c>
      <c r="B8" s="5" t="inlineStr">
        <is>
          <t>$3,432 / oz (+43.8% y/y)</t>
        </is>
      </c>
      <c r="C8" s="4" t="inlineStr">
        <is>
          <t>LBMA / metalcharts.org</t>
        </is>
      </c>
    </row>
    <row r="9">
      <c r="A9" s="4" t="inlineStr">
        <is>
          <t>Record full-year demand 2025</t>
        </is>
      </c>
      <c r="B9" s="5" t="inlineStr">
        <is>
          <t>5,002 t / $555bn</t>
        </is>
      </c>
      <c r="C9" s="4" t="inlineStr">
        <is>
          <t>WGC Gold Demand Trends FY2025</t>
        </is>
      </c>
    </row>
    <row r="10">
      <c r="A10" s="4" t="inlineStr">
        <is>
          <t>2025 mine production (world)</t>
        </is>
      </c>
      <c r="B10" s="5" t="inlineStr">
        <is>
          <t>3,300 t</t>
        </is>
      </c>
      <c r="C10" s="4" t="inlineStr">
        <is>
          <t>USGS MCS 2026</t>
        </is>
      </c>
    </row>
    <row r="11">
      <c r="A11" s="4" t="inlineStr">
        <is>
          <t>Top producer country</t>
        </is>
      </c>
      <c r="B11" s="5" t="inlineStr">
        <is>
          <t>China - 380 t (2025 est.)</t>
        </is>
      </c>
      <c r="C11" s="4" t="inlineStr">
        <is>
          <t>USGS MCS 2026</t>
        </is>
      </c>
    </row>
    <row r="12">
      <c r="A12" s="4" t="inlineStr">
        <is>
          <t>Central-bank net buying, 2025</t>
        </is>
      </c>
      <c r="B12" s="5" t="inlineStr">
        <is>
          <t>863 t (3rd straight 1,000t+ era easing)</t>
        </is>
      </c>
      <c r="C12" s="4" t="inlineStr">
        <is>
          <t>WGC Gold Demand Trends FY2025</t>
        </is>
      </c>
    </row>
  </sheetData>
  <mergeCells count="1">
    <mergeCell ref="A2:F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4"/>
  <sheetViews>
    <sheetView showGridLines="0" workbookViewId="0">
      <selection activeCell="A1" sqref="A1"/>
    </sheetView>
  </sheetViews>
  <sheetFormatPr baseColWidth="8" defaultRowHeight="15"/>
  <cols>
    <col width="10" customWidth="1" min="1" max="1"/>
    <col width="20" customWidth="1" min="2" max="2"/>
    <col width="12" customWidth="1" min="3" max="3"/>
    <col width="16" customWidth="1" min="4" max="4"/>
    <col width="15" customWidth="1" min="5" max="5"/>
    <col width="15" customWidth="1" min="6" max="6"/>
  </cols>
  <sheetData>
    <row r="1">
      <c r="A1" s="1" t="inlineStr">
        <is>
          <t>Official Gold Reserves by Country</t>
        </is>
      </c>
    </row>
    <row r="2">
      <c r="A2" s="6" t="inlineStr">
        <is>
          <t>As of World Gold Council / IMF IFS, September 2026 publication (holdings dated Apr-Jul 2026 per country)</t>
        </is>
      </c>
    </row>
    <row r="4">
      <c r="A4" s="3" t="inlineStr">
        <is>
          <t>IFS Rank</t>
        </is>
      </c>
      <c r="B4" s="3" t="inlineStr">
        <is>
          <t>Country</t>
        </is>
      </c>
      <c r="C4" s="3" t="inlineStr">
        <is>
          <t>Tonnes</t>
        </is>
      </c>
      <c r="D4" s="3" t="inlineStr">
        <is>
          <t>% of FX reserves</t>
        </is>
      </c>
      <c r="E4" s="3" t="inlineStr">
        <is>
          <t>% of world total</t>
        </is>
      </c>
      <c r="F4" s="3" t="inlineStr">
        <is>
          <t>Holdings as of</t>
        </is>
      </c>
    </row>
    <row r="5">
      <c r="A5" s="4" t="n">
        <v>1</v>
      </c>
      <c r="B5" s="4" t="inlineStr">
        <is>
          <t>United States</t>
        </is>
      </c>
      <c r="C5" s="7" t="n">
        <v>8133.46</v>
      </c>
      <c r="D5" s="8" t="n">
        <v>0.8141</v>
      </c>
      <c r="E5" s="9" t="n">
        <v>0.2208422211892277</v>
      </c>
      <c r="F5" s="4" t="inlineStr">
        <is>
          <t>Jul 2026</t>
        </is>
      </c>
    </row>
    <row r="6">
      <c r="A6" s="4" t="n">
        <v>2</v>
      </c>
      <c r="B6" s="4" t="inlineStr">
        <is>
          <t>Germany</t>
        </is>
      </c>
      <c r="C6" s="7" t="n">
        <v>3349.48</v>
      </c>
      <c r="D6" s="8" t="n">
        <v>0.8100000000000001</v>
      </c>
      <c r="E6" s="9" t="n">
        <v>0.09094611678534037</v>
      </c>
      <c r="F6" s="4" t="inlineStr">
        <is>
          <t>Apr 2026</t>
        </is>
      </c>
    </row>
    <row r="7">
      <c r="A7" s="4" t="n">
        <v>4</v>
      </c>
      <c r="B7" s="4" t="inlineStr">
        <is>
          <t>Italy</t>
        </is>
      </c>
      <c r="C7" s="7" t="n">
        <v>2451.84</v>
      </c>
      <c r="D7" s="8" t="n">
        <v>0.7706</v>
      </c>
      <c r="E7" s="9" t="n">
        <v>0.06657311791053207</v>
      </c>
      <c r="F7" s="4" t="inlineStr">
        <is>
          <t>Jul 2026</t>
        </is>
      </c>
    </row>
    <row r="8">
      <c r="A8" s="4" t="n">
        <v>5</v>
      </c>
      <c r="B8" s="4" t="inlineStr">
        <is>
          <t>France</t>
        </is>
      </c>
      <c r="C8" s="7" t="n">
        <v>2436.97</v>
      </c>
      <c r="D8" s="8" t="n">
        <v>0.7854</v>
      </c>
      <c r="E8" s="9" t="n">
        <v>0.06616936307199055</v>
      </c>
      <c r="F8" s="4" t="inlineStr">
        <is>
          <t>Apr 2026</t>
        </is>
      </c>
    </row>
    <row r="9">
      <c r="A9" s="4" t="n">
        <v>6</v>
      </c>
      <c r="B9" s="4" t="inlineStr">
        <is>
          <t>China</t>
        </is>
      </c>
      <c r="C9" s="7" t="n">
        <v>2366.33</v>
      </c>
      <c r="D9" s="8" t="n">
        <v>0.0808</v>
      </c>
      <c r="E9" s="9" t="n">
        <v>0.06425132394659901</v>
      </c>
      <c r="F9" s="4" t="inlineStr">
        <is>
          <t>Jul 2026</t>
        </is>
      </c>
    </row>
    <row r="10">
      <c r="A10" s="4" t="n">
        <v>7</v>
      </c>
      <c r="B10" s="4" t="inlineStr">
        <is>
          <t>Russia</t>
        </is>
      </c>
      <c r="C10" s="7" t="n">
        <v>2276.76</v>
      </c>
      <c r="D10" s="8" t="n">
        <v>0.4131</v>
      </c>
      <c r="E10" s="9" t="n">
        <v>0.06181929160711261</v>
      </c>
      <c r="F10" s="4" t="inlineStr">
        <is>
          <t>Jul 2026</t>
        </is>
      </c>
    </row>
    <row r="11">
      <c r="A11" s="4" t="n">
        <v>8</v>
      </c>
      <c r="B11" s="4" t="inlineStr">
        <is>
          <t>Switzerland</t>
        </is>
      </c>
      <c r="C11" s="7" t="n">
        <v>1039.94</v>
      </c>
      <c r="D11" s="8" t="n">
        <v>0.1238</v>
      </c>
      <c r="E11" s="9" t="n">
        <v>0.02823677248102597</v>
      </c>
      <c r="F11" s="4" t="inlineStr">
        <is>
          <t>Jun 2026</t>
        </is>
      </c>
    </row>
    <row r="12">
      <c r="A12" s="4" t="n">
        <v>9</v>
      </c>
      <c r="B12" s="4" t="inlineStr">
        <is>
          <t>India</t>
        </is>
      </c>
      <c r="C12" s="7" t="n">
        <v>880.51</v>
      </c>
      <c r="D12" s="8" t="n">
        <v>0.1624</v>
      </c>
      <c r="E12" s="9" t="n">
        <v>0.02390787981736271</v>
      </c>
      <c r="F12" s="4" t="inlineStr">
        <is>
          <t>Jul 2026</t>
        </is>
      </c>
    </row>
    <row r="13">
      <c r="A13" s="4" t="n">
        <v>10</v>
      </c>
      <c r="B13" s="4" t="inlineStr">
        <is>
          <t>Japan</t>
        </is>
      </c>
      <c r="C13" s="7" t="n">
        <v>845.97</v>
      </c>
      <c r="D13" s="8" t="n">
        <v>0.0851</v>
      </c>
      <c r="E13" s="9" t="n">
        <v>0.02297003905588163</v>
      </c>
      <c r="F13" s="4" t="inlineStr">
        <is>
          <t>Jun 2026</t>
        </is>
      </c>
    </row>
    <row r="14">
      <c r="A14" s="4" t="n">
        <v>11</v>
      </c>
      <c r="B14" s="4" t="inlineStr">
        <is>
          <t>Poland</t>
        </is>
      </c>
      <c r="C14" s="7" t="n">
        <v>640.21</v>
      </c>
      <c r="D14" s="8" t="n">
        <v>0.2817</v>
      </c>
      <c r="E14" s="9" t="n">
        <v>0.01738317990468453</v>
      </c>
      <c r="F14" s="4" t="inlineStr">
        <is>
          <t>Jul 2026</t>
        </is>
      </c>
    </row>
    <row r="15">
      <c r="A15" s="4" t="n">
        <v>12</v>
      </c>
      <c r="B15" s="4" t="inlineStr">
        <is>
          <t>Netherlands</t>
        </is>
      </c>
      <c r="C15" s="7" t="n">
        <v>612.45</v>
      </c>
      <c r="D15" s="8" t="n">
        <v>0.7000999999999999</v>
      </c>
      <c r="E15" s="9" t="n">
        <v>0.01662943179991572</v>
      </c>
      <c r="F15" s="4" t="inlineStr">
        <is>
          <t>Apr 2026</t>
        </is>
      </c>
    </row>
    <row r="16">
      <c r="A16" s="4" t="n">
        <v>13</v>
      </c>
      <c r="B16" s="4" t="inlineStr">
        <is>
          <t>Turkey</t>
        </is>
      </c>
      <c r="C16" s="7" t="n">
        <v>529.2</v>
      </c>
      <c r="D16" s="8" t="n">
        <v>0.5179</v>
      </c>
      <c r="E16" s="9" t="n">
        <v>0.01436900205488677</v>
      </c>
      <c r="F16" s="4" t="inlineStr">
        <is>
          <t>Jul 2026</t>
        </is>
      </c>
    </row>
    <row r="17">
      <c r="A17" s="4" t="n">
        <v>15</v>
      </c>
      <c r="B17" s="4" t="inlineStr">
        <is>
          <t>Uzbekistan</t>
        </is>
      </c>
      <c r="C17" s="7" t="n">
        <v>430.78</v>
      </c>
      <c r="D17" s="8" t="n">
        <v>0.8715000000000001</v>
      </c>
      <c r="E17" s="9" t="n">
        <v>0.01169667177854142</v>
      </c>
      <c r="F17" s="4" t="inlineStr">
        <is>
          <t>Jul 2026</t>
        </is>
      </c>
    </row>
    <row r="18">
      <c r="A18" s="4" t="n">
        <v>16</v>
      </c>
      <c r="B18" s="4" t="inlineStr">
        <is>
          <t>Taiwan</t>
        </is>
      </c>
      <c r="C18" s="7" t="n">
        <v>423.94</v>
      </c>
      <c r="D18" s="8" t="n">
        <v>0.0835</v>
      </c>
      <c r="E18" s="9" t="n">
        <v>0.01151094998327418</v>
      </c>
      <c r="F18" s="4" t="inlineStr">
        <is>
          <t>Apr 2026</t>
        </is>
      </c>
    </row>
    <row r="19">
      <c r="A19" s="4" t="n">
        <v>17</v>
      </c>
      <c r="B19" s="4" t="inlineStr">
        <is>
          <t>Portugal</t>
        </is>
      </c>
      <c r="C19" s="7" t="n">
        <v>382.66</v>
      </c>
      <c r="D19" s="8" t="n">
        <v>0.7575</v>
      </c>
      <c r="E19" s="9" t="n">
        <v>0.01039010265745081</v>
      </c>
      <c r="F19" s="4" t="inlineStr">
        <is>
          <t>Apr 2026</t>
        </is>
      </c>
    </row>
    <row r="20">
      <c r="A20" s="4" t="n">
        <v>18</v>
      </c>
      <c r="B20" s="4" t="inlineStr">
        <is>
          <t>Kazakhstan</t>
        </is>
      </c>
      <c r="C20" s="7" t="n">
        <v>369.76</v>
      </c>
      <c r="D20" s="8" t="n">
        <v>0.755</v>
      </c>
      <c r="E20" s="9" t="n">
        <v>0.01003983786813101</v>
      </c>
      <c r="F20" s="4" t="inlineStr">
        <is>
          <t>Jul 2026</t>
        </is>
      </c>
    </row>
    <row r="21">
      <c r="A21" s="4" t="n">
        <v>19</v>
      </c>
      <c r="B21" s="4" t="inlineStr">
        <is>
          <t>Saudi Arabia</t>
        </is>
      </c>
      <c r="C21" s="7" t="n">
        <v>323.07</v>
      </c>
      <c r="D21" s="8" t="n">
        <v>0.079</v>
      </c>
      <c r="E21" s="9" t="n">
        <v>0.008772096549267323</v>
      </c>
      <c r="F21" s="4" t="inlineStr">
        <is>
          <t>May 2026</t>
        </is>
      </c>
    </row>
    <row r="22">
      <c r="A22" s="4" t="n">
        <v>20</v>
      </c>
      <c r="B22" s="4" t="inlineStr">
        <is>
          <t>United Kingdom</t>
        </is>
      </c>
      <c r="C22" s="7" t="n">
        <v>310.29</v>
      </c>
      <c r="D22" s="8" t="n">
        <v>0.1924</v>
      </c>
      <c r="E22" s="9" t="n">
        <v>0.008425090037057473</v>
      </c>
      <c r="F22" s="4" t="inlineStr">
        <is>
          <t>Jul 2026</t>
        </is>
      </c>
    </row>
    <row r="23">
      <c r="A23" s="4" t="n">
        <v>21</v>
      </c>
      <c r="B23" s="4" t="inlineStr">
        <is>
          <t>Lebanon</t>
        </is>
      </c>
      <c r="C23" s="7" t="n">
        <v>286.83</v>
      </c>
      <c r="D23" s="8" t="n">
        <v>0.7907999999999999</v>
      </c>
      <c r="E23" s="9" t="n">
        <v>0.007788096862061925</v>
      </c>
      <c r="F23" s="4" t="inlineStr">
        <is>
          <t>Mar 2025</t>
        </is>
      </c>
    </row>
    <row r="24">
      <c r="A24" s="4" t="n">
        <v>22</v>
      </c>
      <c r="B24" s="4" t="inlineStr">
        <is>
          <t>Spain</t>
        </is>
      </c>
      <c r="C24" s="7" t="n">
        <v>281.58</v>
      </c>
      <c r="D24" s="8" t="n">
        <v>0.2948</v>
      </c>
      <c r="E24" s="9" t="n">
        <v>0.00764554723850154</v>
      </c>
      <c r="F24" s="4" t="inlineStr">
        <is>
          <t>Apr 2026</t>
        </is>
      </c>
    </row>
    <row r="25">
      <c r="A25" s="4" t="n">
        <v>23</v>
      </c>
      <c r="B25" s="4" t="inlineStr">
        <is>
          <t>Austria</t>
        </is>
      </c>
      <c r="C25" s="7" t="n">
        <v>280.05</v>
      </c>
      <c r="D25" s="8" t="n">
        <v>0.7134</v>
      </c>
      <c r="E25" s="9" t="n">
        <v>0.007604004205349657</v>
      </c>
      <c r="F25" s="4" t="inlineStr">
        <is>
          <t>Jun 2026</t>
        </is>
      </c>
    </row>
    <row r="26">
      <c r="A26" s="4" t="n">
        <v>24</v>
      </c>
      <c r="B26" s="4" t="inlineStr">
        <is>
          <t>Thailand</t>
        </is>
      </c>
      <c r="C26" s="7" t="n">
        <v>234.52</v>
      </c>
      <c r="D26" s="8" t="n">
        <v>0.1103</v>
      </c>
      <c r="E26" s="9" t="n">
        <v>0.006367759565215503</v>
      </c>
      <c r="F26" s="4" t="inlineStr">
        <is>
          <t>Jul 2026</t>
        </is>
      </c>
    </row>
    <row r="27">
      <c r="A27" s="4" t="n">
        <v>25</v>
      </c>
      <c r="B27" s="4" t="inlineStr">
        <is>
          <t>Belgium</t>
        </is>
      </c>
      <c r="C27" s="7" t="n">
        <v>227.4</v>
      </c>
      <c r="D27" s="8" t="n">
        <v>0.55</v>
      </c>
      <c r="E27" s="9" t="n">
        <v>0.006174435123358372</v>
      </c>
      <c r="F27" s="4" t="inlineStr">
        <is>
          <t>Jun 2026</t>
        </is>
      </c>
    </row>
    <row r="28">
      <c r="A28" s="4" t="n">
        <v>26</v>
      </c>
      <c r="B28" s="4" t="inlineStr">
        <is>
          <t>Singapore</t>
        </is>
      </c>
      <c r="C28" s="7" t="n">
        <v>203.54</v>
      </c>
      <c r="D28" s="8" t="n">
        <v>0.0588</v>
      </c>
      <c r="E28" s="9" t="n">
        <v>0.005526581024662985</v>
      </c>
      <c r="F28" s="4" t="inlineStr">
        <is>
          <t>Jul 2026</t>
        </is>
      </c>
    </row>
    <row r="29">
      <c r="A29" s="4" t="n">
        <v>30</v>
      </c>
      <c r="B29" s="4" t="inlineStr">
        <is>
          <t>Brazil</t>
        </is>
      </c>
      <c r="C29" s="7" t="n">
        <v>172.44</v>
      </c>
      <c r="D29" s="8" t="n">
        <v>0.0607</v>
      </c>
      <c r="E29" s="9" t="n">
        <v>0.004682144207000517</v>
      </c>
      <c r="F29" s="4" t="inlineStr">
        <is>
          <t>Jun 2026</t>
        </is>
      </c>
    </row>
    <row r="30">
      <c r="A30" s="4" t="n">
        <v>33</v>
      </c>
      <c r="B30" s="4" t="inlineStr">
        <is>
          <t>Philippines</t>
        </is>
      </c>
      <c r="C30" s="7" t="n">
        <v>133.52</v>
      </c>
      <c r="D30" s="8" t="n">
        <v>0.1676</v>
      </c>
      <c r="E30" s="9" t="n">
        <v>0.0036253763310062</v>
      </c>
      <c r="F30" s="4" t="inlineStr">
        <is>
          <t>Jul 2026</t>
        </is>
      </c>
    </row>
    <row r="31">
      <c r="A31" s="4" t="n">
        <v>36</v>
      </c>
      <c r="B31" s="4" t="inlineStr">
        <is>
          <t>South Africa</t>
        </is>
      </c>
      <c r="C31" s="7" t="n">
        <v>125.53</v>
      </c>
      <c r="D31" s="8" t="n">
        <v>0.2217</v>
      </c>
      <c r="E31" s="9" t="n">
        <v>0.003408429380101919</v>
      </c>
      <c r="F31" s="4" t="inlineStr">
        <is>
          <t>Jul 2026</t>
        </is>
      </c>
    </row>
    <row r="32">
      <c r="A32" s="4" t="n">
        <v>37</v>
      </c>
      <c r="B32" s="4" t="inlineStr">
        <is>
          <t>Mexico</t>
        </is>
      </c>
      <c r="C32" s="7" t="n">
        <v>120.04</v>
      </c>
      <c r="D32" s="8" t="n">
        <v>0.0573</v>
      </c>
      <c r="E32" s="9" t="n">
        <v>0.003259363202321631</v>
      </c>
      <c r="F32" s="4" t="inlineStr">
        <is>
          <t>Jun 2026</t>
        </is>
      </c>
    </row>
    <row r="33">
      <c r="A33" s="4" t="n">
        <v>44</v>
      </c>
      <c r="B33" s="4" t="inlineStr">
        <is>
          <t>Indonesia</t>
        </is>
      </c>
      <c r="C33" s="7" t="n">
        <v>87.04000000000001</v>
      </c>
      <c r="D33" s="8" t="n">
        <v>0.0776</v>
      </c>
      <c r="E33" s="9" t="n">
        <v>0.002363336997084928</v>
      </c>
      <c r="F33" s="4" t="inlineStr">
        <is>
          <t>Jul 2026</t>
        </is>
      </c>
    </row>
    <row r="34">
      <c r="A34" s="4" t="n">
        <v>46</v>
      </c>
      <c r="B34" s="4" t="inlineStr">
        <is>
          <t>Australia</t>
        </is>
      </c>
      <c r="C34" s="7" t="n">
        <v>79.87</v>
      </c>
      <c r="D34" s="8" t="n">
        <v>0.1429</v>
      </c>
      <c r="E34" s="9" t="n">
        <v>0.002168654939765318</v>
      </c>
      <c r="F34" s="4" t="inlineStr">
        <is>
          <t>Jul 2026</t>
        </is>
      </c>
    </row>
    <row r="36">
      <c r="A36" s="10" t="inlineStr">
        <is>
          <t>Institutional / supranational holders (not a single country):</t>
        </is>
      </c>
    </row>
    <row r="38">
      <c r="B38" t="inlineStr">
        <is>
          <t>IMF</t>
        </is>
      </c>
      <c r="C38" s="11" t="n">
        <v>2814.04</v>
      </c>
      <c r="F38" t="inlineStr">
        <is>
          <t>Jun 2026</t>
        </is>
      </c>
    </row>
    <row r="39">
      <c r="B39" t="inlineStr">
        <is>
          <t>European Central Bank</t>
        </is>
      </c>
      <c r="C39" s="11" t="n">
        <v>508.41</v>
      </c>
      <c r="F39" t="inlineStr">
        <is>
          <t>Jan 2026</t>
        </is>
      </c>
    </row>
    <row r="40">
      <c r="B40" t="inlineStr">
        <is>
          <t>Bank for International Settlements</t>
        </is>
      </c>
      <c r="C40" s="11" t="n">
        <v>102</v>
      </c>
      <c r="F40" t="inlineStr">
        <is>
          <t>Mar 2026</t>
        </is>
      </c>
    </row>
    <row r="42">
      <c r="A42" s="2" t="inlineStr">
        <is>
          <t>Source: World Gold Council / IMF International Financial Statistics, September 2026 publication (source: https://www.gold.org/goldhub/data/gold-reserves-by-country, file: World_official_gold_holdings_as_of_Sep2026_IFS.xlsx). World total across all 100 IFS-reporting entities: 36,829.3 tonnes.</t>
        </is>
      </c>
    </row>
    <row r="44">
      <c r="A44" s="12" t="inlineStr">
        <is>
          <t>Concentration &amp; allocation</t>
        </is>
      </c>
    </row>
    <row r="45">
      <c r="A45" t="inlineStr">
        <is>
          <t>Top 5 countries' share of world reserves</t>
        </is>
      </c>
      <c r="B45" s="13" t="n">
        <v>0.5087821429036897</v>
      </c>
    </row>
    <row r="46">
      <c r="A46" t="inlineStr">
        <is>
          <t>Euro Area bloc total (incl. ECB) vs United States</t>
        </is>
      </c>
      <c r="B46" t="inlineStr">
        <is>
          <t>10,808t vs 8,133.5t</t>
        </is>
      </c>
    </row>
    <row r="48">
      <c r="A48" s="12" t="inlineStr">
        <is>
          <t>Gold as % of FX reserves - top allocators ('de-dollarization' leaderboard)</t>
        </is>
      </c>
    </row>
    <row r="49">
      <c r="A49" s="3" t="inlineStr">
        <is>
          <t>Country</t>
        </is>
      </c>
      <c r="B49" s="3" t="inlineStr">
        <is>
          <t>% of FX reserves in gold</t>
        </is>
      </c>
    </row>
    <row r="50">
      <c r="A50" t="inlineStr">
        <is>
          <t>Uzbekistan</t>
        </is>
      </c>
      <c r="B50" s="13" t="n">
        <v>0.8715000000000001</v>
      </c>
    </row>
    <row r="51">
      <c r="A51" t="inlineStr">
        <is>
          <t>United States</t>
        </is>
      </c>
      <c r="B51" s="13" t="n">
        <v>0.8141</v>
      </c>
    </row>
    <row r="52">
      <c r="A52" t="inlineStr">
        <is>
          <t>Germany</t>
        </is>
      </c>
      <c r="B52" s="13" t="n">
        <v>0.8100000000000001</v>
      </c>
    </row>
    <row r="53">
      <c r="A53" t="inlineStr">
        <is>
          <t>Lebanon</t>
        </is>
      </c>
      <c r="B53" s="13" t="n">
        <v>0.7907999999999999</v>
      </c>
    </row>
    <row r="54">
      <c r="A54" t="inlineStr">
        <is>
          <t>France</t>
        </is>
      </c>
      <c r="B54" s="13" t="n">
        <v>0.7854</v>
      </c>
    </row>
    <row r="55">
      <c r="A55" t="inlineStr">
        <is>
          <t>Italy</t>
        </is>
      </c>
      <c r="B55" s="13" t="n">
        <v>0.7706</v>
      </c>
    </row>
    <row r="56">
      <c r="A56" t="inlineStr">
        <is>
          <t>Portugal</t>
        </is>
      </c>
      <c r="B56" s="13" t="n">
        <v>0.7575</v>
      </c>
    </row>
    <row r="57">
      <c r="A57" t="inlineStr">
        <is>
          <t>Kazakhstan</t>
        </is>
      </c>
      <c r="B57" s="13" t="n">
        <v>0.755</v>
      </c>
    </row>
    <row r="58">
      <c r="A58" t="inlineStr">
        <is>
          <t>Austria</t>
        </is>
      </c>
      <c r="B58" s="13" t="n">
        <v>0.7134</v>
      </c>
    </row>
    <row r="59">
      <c r="A59" t="inlineStr">
        <is>
          <t>Netherlands</t>
        </is>
      </c>
      <c r="B59" s="13" t="n">
        <v>0.7000999999999999</v>
      </c>
    </row>
    <row r="60">
      <c r="A60" t="inlineStr">
        <is>
          <t>Belgium</t>
        </is>
      </c>
      <c r="B60" s="13" t="n">
        <v>0.55</v>
      </c>
    </row>
    <row r="61">
      <c r="A61" t="inlineStr">
        <is>
          <t>Turkey</t>
        </is>
      </c>
      <c r="B61" s="13" t="n">
        <v>0.5179</v>
      </c>
    </row>
    <row r="62">
      <c r="A62" t="inlineStr">
        <is>
          <t>Russia</t>
        </is>
      </c>
      <c r="B62" s="13" t="n">
        <v>0.4131</v>
      </c>
    </row>
    <row r="63">
      <c r="A63" t="inlineStr">
        <is>
          <t>Spain</t>
        </is>
      </c>
      <c r="B63" s="13" t="n">
        <v>0.2948</v>
      </c>
    </row>
    <row r="64">
      <c r="A64" t="inlineStr">
        <is>
          <t>Poland</t>
        </is>
      </c>
      <c r="B64" s="13" t="n">
        <v>0.2817</v>
      </c>
    </row>
  </sheetData>
  <mergeCells count="2">
    <mergeCell ref="A2:F2"/>
    <mergeCell ref="A42:F42"/>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3.xml><?xml version="1.0" encoding="utf-8"?>
<worksheet xmlns="http://schemas.openxmlformats.org/spreadsheetml/2006/main">
  <sheetPr>
    <outlinePr summaryBelow="1" summaryRight="1"/>
    <pageSetUpPr/>
  </sheetPr>
  <dimension ref="A1:M56"/>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s>
  <sheetData>
    <row r="1">
      <c r="A1" s="1" t="inlineStr">
        <is>
          <t>World Official Gold Reserves, 2000-2026</t>
        </is>
      </c>
    </row>
    <row r="2">
      <c r="A2" s="2" t="inlineStr">
        <is>
          <t>Quarterly_gold_and_FX_Reserves_Q2_2026.xlsx, 'Gold (Tonnes)' sheet, World row, Q4 snapshot of each year (Q2 2026 for the latest point). CBGA = Central Bank Gold Agreement (1999-2009), under which European central banks coordinated gross sales of gold; reserves have risen almost every year since 2009 as central banks became net buyers.</t>
        </is>
      </c>
    </row>
    <row r="4">
      <c r="A4" s="3" t="inlineStr">
        <is>
          <t>Year</t>
        </is>
      </c>
      <c r="B4" s="3" t="inlineStr">
        <is>
          <t>World reserves (tonnes)</t>
        </is>
      </c>
    </row>
    <row r="5">
      <c r="A5" t="n">
        <v>2000</v>
      </c>
      <c r="B5" s="11" t="n">
        <v>33212.5</v>
      </c>
    </row>
    <row r="6">
      <c r="A6" t="n">
        <v>2001</v>
      </c>
      <c r="B6" s="11" t="n">
        <v>32933.3</v>
      </c>
    </row>
    <row r="7">
      <c r="A7" t="n">
        <v>2002</v>
      </c>
      <c r="B7" s="11" t="n">
        <v>32563.7</v>
      </c>
    </row>
    <row r="8">
      <c r="A8" t="n">
        <v>2003</v>
      </c>
      <c r="B8" s="11" t="n">
        <v>32006</v>
      </c>
    </row>
    <row r="9">
      <c r="A9" t="n">
        <v>2004</v>
      </c>
      <c r="B9" s="11" t="n">
        <v>31487.2</v>
      </c>
    </row>
    <row r="10">
      <c r="A10" t="n">
        <v>2005</v>
      </c>
      <c r="B10" s="11" t="n">
        <v>30883.9</v>
      </c>
    </row>
    <row r="11">
      <c r="A11" t="n">
        <v>2006</v>
      </c>
      <c r="B11" s="11" t="n">
        <v>30518.9</v>
      </c>
    </row>
    <row r="12">
      <c r="A12" t="n">
        <v>2007</v>
      </c>
      <c r="B12" s="11" t="n">
        <v>30014.4</v>
      </c>
    </row>
    <row r="13">
      <c r="A13" t="n">
        <v>2008</v>
      </c>
      <c r="B13" s="11" t="n">
        <v>30002.3</v>
      </c>
    </row>
    <row r="14">
      <c r="A14" t="n">
        <v>2009</v>
      </c>
      <c r="B14" s="11" t="n">
        <v>30526.8</v>
      </c>
    </row>
    <row r="15">
      <c r="A15" t="n">
        <v>2010</v>
      </c>
      <c r="B15" s="11" t="n">
        <v>30847.7</v>
      </c>
    </row>
    <row r="16">
      <c r="A16" t="n">
        <v>2011</v>
      </c>
      <c r="B16" s="11" t="n">
        <v>31213.8</v>
      </c>
    </row>
    <row r="17">
      <c r="A17" t="n">
        <v>2012</v>
      </c>
      <c r="B17" s="11" t="n">
        <v>31688.9</v>
      </c>
    </row>
    <row r="18">
      <c r="A18" t="n">
        <v>2013</v>
      </c>
      <c r="B18" s="11" t="n">
        <v>32036.5</v>
      </c>
    </row>
    <row r="19">
      <c r="A19" t="n">
        <v>2014</v>
      </c>
      <c r="B19" s="11" t="n">
        <v>32270.8</v>
      </c>
    </row>
    <row r="20">
      <c r="A20" t="n">
        <v>2015</v>
      </c>
      <c r="B20" s="11" t="n">
        <v>33017.9</v>
      </c>
    </row>
    <row r="21">
      <c r="A21" t="n">
        <v>2016</v>
      </c>
      <c r="B21" s="11" t="n">
        <v>33593.4</v>
      </c>
    </row>
    <row r="22">
      <c r="A22" t="n">
        <v>2017</v>
      </c>
      <c r="B22" s="11" t="n">
        <v>34003.2</v>
      </c>
    </row>
    <row r="23">
      <c r="A23" t="n">
        <v>2018</v>
      </c>
      <c r="B23" s="11" t="n">
        <v>34233</v>
      </c>
    </row>
    <row r="24">
      <c r="A24" t="n">
        <v>2019</v>
      </c>
      <c r="B24" s="11" t="n">
        <v>34781.5</v>
      </c>
    </row>
    <row r="25">
      <c r="A25" t="n">
        <v>2020</v>
      </c>
      <c r="B25" s="11" t="n">
        <v>35305</v>
      </c>
    </row>
    <row r="26">
      <c r="A26" t="n">
        <v>2021</v>
      </c>
      <c r="B26" s="11" t="n">
        <v>35532.9</v>
      </c>
    </row>
    <row r="27">
      <c r="A27" t="n">
        <v>2022</v>
      </c>
      <c r="B27" s="11" t="n">
        <v>35508</v>
      </c>
    </row>
    <row r="28">
      <c r="A28" t="n">
        <v>2023</v>
      </c>
      <c r="B28" s="11" t="n">
        <v>36002.9</v>
      </c>
    </row>
    <row r="29">
      <c r="A29" t="n">
        <v>2024</v>
      </c>
      <c r="B29" s="11" t="n">
        <v>36254</v>
      </c>
    </row>
    <row r="30">
      <c r="A30" t="n">
        <v>2025</v>
      </c>
      <c r="B30" s="11" t="n">
        <v>36572</v>
      </c>
    </row>
    <row r="31">
      <c r="A31" t="inlineStr">
        <is>
          <t>Q2 2026</t>
        </is>
      </c>
      <c r="B31" s="11" t="n">
        <v>36829.3</v>
      </c>
    </row>
    <row r="34">
      <c r="A34" s="12" t="inlineStr">
        <is>
          <t>Selected country reserve history (tonnes)</t>
        </is>
      </c>
    </row>
    <row r="35">
      <c r="A35" s="3" t="inlineStr">
        <is>
          <t>Year</t>
        </is>
      </c>
      <c r="B35" s="3" t="inlineStr">
        <is>
          <t>United States</t>
        </is>
      </c>
      <c r="C35" s="3" t="inlineStr">
        <is>
          <t>Germany</t>
        </is>
      </c>
      <c r="D35" s="3" t="inlineStr">
        <is>
          <t>China</t>
        </is>
      </c>
      <c r="E35" s="3" t="inlineStr">
        <is>
          <t>Russia</t>
        </is>
      </c>
      <c r="F35" s="3" t="inlineStr">
        <is>
          <t>India</t>
        </is>
      </c>
      <c r="G35" s="3" t="inlineStr">
        <is>
          <t>Poland</t>
        </is>
      </c>
      <c r="H35" s="3" t="inlineStr">
        <is>
          <t>Japan</t>
        </is>
      </c>
      <c r="I35" s="3" t="inlineStr">
        <is>
          <t>Netherlands</t>
        </is>
      </c>
      <c r="J35" s="3" t="inlineStr">
        <is>
          <t>United Kingdom</t>
        </is>
      </c>
      <c r="K35" s="3" t="inlineStr">
        <is>
          <t>Switzerland</t>
        </is>
      </c>
      <c r="L35" s="3" t="inlineStr">
        <is>
          <t>Turkey</t>
        </is>
      </c>
      <c r="M35" s="3" t="inlineStr">
        <is>
          <t>Kazakhstan</t>
        </is>
      </c>
    </row>
    <row r="36">
      <c r="A36" t="n">
        <v>2000</v>
      </c>
      <c r="B36" s="11" t="n">
        <v>8136.9</v>
      </c>
      <c r="C36" s="11" t="n">
        <v>3468.6</v>
      </c>
      <c r="D36" s="11" t="n">
        <v>395</v>
      </c>
      <c r="E36" s="11" t="n">
        <v>384.4</v>
      </c>
      <c r="F36" s="11" t="n">
        <v>357.8</v>
      </c>
      <c r="G36" s="11" t="n">
        <v>102.8</v>
      </c>
      <c r="H36" s="11" t="n">
        <v>763.5</v>
      </c>
      <c r="I36" s="11" t="n">
        <v>911.8</v>
      </c>
      <c r="J36" s="11" t="n">
        <v>487.5</v>
      </c>
      <c r="K36" s="11" t="n">
        <v>2419.4</v>
      </c>
      <c r="L36" s="11" t="n">
        <v>116.3</v>
      </c>
      <c r="M36" s="11" t="n">
        <v>57.2</v>
      </c>
    </row>
    <row r="37">
      <c r="A37" t="n">
        <v>2001</v>
      </c>
      <c r="J37" s="11" t="n">
        <v>355.2</v>
      </c>
    </row>
    <row r="38">
      <c r="A38" t="n">
        <v>2002</v>
      </c>
      <c r="J38" s="11" t="n">
        <v>313.9</v>
      </c>
      <c r="K38" s="11" t="n">
        <v>1916.7</v>
      </c>
    </row>
    <row r="39">
      <c r="A39" t="n">
        <v>2004</v>
      </c>
      <c r="K39" s="11" t="n">
        <v>1354.3</v>
      </c>
    </row>
    <row r="40">
      <c r="A40" t="n">
        <v>2005</v>
      </c>
      <c r="B40" s="11" t="n">
        <v>8135.1</v>
      </c>
      <c r="C40" s="11" t="n">
        <v>3427.8</v>
      </c>
      <c r="D40" s="11" t="n">
        <v>600</v>
      </c>
      <c r="E40" s="11" t="n">
        <v>386.9</v>
      </c>
      <c r="I40" s="11" t="n">
        <v>694.9</v>
      </c>
      <c r="J40" s="11" t="n">
        <v>310.8</v>
      </c>
    </row>
    <row r="41">
      <c r="A41" t="n">
        <v>2006</v>
      </c>
      <c r="K41" s="11" t="n">
        <v>1290.1</v>
      </c>
    </row>
    <row r="42">
      <c r="A42" t="n">
        <v>2008</v>
      </c>
      <c r="I42" s="11" t="n">
        <v>612.5</v>
      </c>
      <c r="K42" s="11" t="n">
        <v>1040.1</v>
      </c>
    </row>
    <row r="43">
      <c r="A43" t="n">
        <v>2009</v>
      </c>
      <c r="D43" s="11" t="n">
        <v>1054.1</v>
      </c>
      <c r="F43" s="11" t="n">
        <v>557.7</v>
      </c>
    </row>
    <row r="44">
      <c r="A44" t="n">
        <v>2010</v>
      </c>
      <c r="B44" s="11" t="n">
        <v>8133.5</v>
      </c>
      <c r="C44" s="11" t="n">
        <v>3401</v>
      </c>
      <c r="E44" s="11" t="n">
        <v>788.6</v>
      </c>
      <c r="J44" s="11" t="n">
        <v>310.3</v>
      </c>
      <c r="M44" s="11" t="n">
        <v>67.3</v>
      </c>
    </row>
    <row r="45">
      <c r="A45" t="n">
        <v>2015</v>
      </c>
      <c r="B45" s="11" t="n">
        <v>8133.5</v>
      </c>
      <c r="C45" s="11" t="n">
        <v>3381</v>
      </c>
      <c r="D45" s="11" t="n">
        <v>1762.3</v>
      </c>
      <c r="E45" s="11" t="n">
        <v>1414.5</v>
      </c>
      <c r="F45" s="11" t="n">
        <v>557.7</v>
      </c>
      <c r="J45" s="11" t="n">
        <v>310.3</v>
      </c>
      <c r="K45" s="11" t="n">
        <v>1040</v>
      </c>
      <c r="M45" s="11" t="n">
        <v>221.8</v>
      </c>
    </row>
    <row r="46">
      <c r="A46" t="n">
        <v>2016</v>
      </c>
      <c r="L46" s="11" t="n">
        <v>116.1</v>
      </c>
    </row>
    <row r="47">
      <c r="A47" t="n">
        <v>2017</v>
      </c>
      <c r="G47" s="11" t="n">
        <v>103</v>
      </c>
      <c r="L47" s="11" t="n">
        <v>202</v>
      </c>
    </row>
    <row r="48">
      <c r="A48" t="n">
        <v>2018</v>
      </c>
      <c r="F48" s="11" t="n">
        <v>600.4</v>
      </c>
    </row>
    <row r="49">
      <c r="A49" t="n">
        <v>2019</v>
      </c>
      <c r="D49" s="11" t="n">
        <v>1948.3</v>
      </c>
      <c r="E49" s="11" t="n">
        <v>2271.2</v>
      </c>
      <c r="G49" s="11" t="n">
        <v>228.6</v>
      </c>
      <c r="L49" s="11" t="n">
        <v>379</v>
      </c>
      <c r="M49" s="11" t="n">
        <v>385.5</v>
      </c>
    </row>
    <row r="50">
      <c r="A50" t="n">
        <v>2020</v>
      </c>
      <c r="B50" s="11" t="n">
        <v>8133.5</v>
      </c>
      <c r="C50" s="11" t="n">
        <v>3362.4</v>
      </c>
      <c r="H50" s="11" t="n">
        <v>765.2</v>
      </c>
      <c r="J50" s="11" t="n">
        <v>310.3</v>
      </c>
      <c r="K50" s="11" t="n">
        <v>1040</v>
      </c>
    </row>
    <row r="51">
      <c r="A51" t="n">
        <v>2021</v>
      </c>
      <c r="F51" s="11" t="n">
        <v>754.1</v>
      </c>
      <c r="H51" s="11" t="n">
        <v>846</v>
      </c>
      <c r="L51" s="11" t="n">
        <v>394.2</v>
      </c>
      <c r="M51" s="11" t="n">
        <v>402.4</v>
      </c>
    </row>
    <row r="52">
      <c r="A52" t="n">
        <v>2022</v>
      </c>
      <c r="D52" s="11" t="n">
        <v>2010.5</v>
      </c>
      <c r="E52" s="11" t="n">
        <v>2332.7</v>
      </c>
      <c r="G52" s="11" t="n">
        <v>228.7</v>
      </c>
      <c r="L52" s="11" t="n">
        <v>541.8</v>
      </c>
    </row>
    <row r="53">
      <c r="A53" t="n">
        <v>2023</v>
      </c>
      <c r="G53" s="11" t="n">
        <v>358.7</v>
      </c>
      <c r="M53" s="11" t="n">
        <v>294.2</v>
      </c>
    </row>
    <row r="54">
      <c r="A54" t="n">
        <v>2024</v>
      </c>
      <c r="F54" s="11" t="n">
        <v>876.2</v>
      </c>
      <c r="G54" s="11" t="n">
        <v>448.2</v>
      </c>
      <c r="L54" s="11" t="n">
        <v>587.6</v>
      </c>
    </row>
    <row r="55">
      <c r="A55" t="n">
        <v>2025</v>
      </c>
      <c r="B55" s="11" t="n">
        <v>8133.5</v>
      </c>
      <c r="C55" s="11" t="n">
        <v>3350.3</v>
      </c>
      <c r="D55" s="11" t="n">
        <v>2306.3</v>
      </c>
      <c r="E55" s="11" t="n">
        <v>2326.5</v>
      </c>
      <c r="G55" s="11" t="n">
        <v>550.2</v>
      </c>
      <c r="J55" s="11" t="n">
        <v>310.3</v>
      </c>
      <c r="K55" s="11" t="n">
        <v>1039.9</v>
      </c>
      <c r="L55" s="11" t="n">
        <v>614.3</v>
      </c>
      <c r="M55" s="11" t="n">
        <v>341</v>
      </c>
    </row>
    <row r="56">
      <c r="A56" t="inlineStr">
        <is>
          <t>Q2 2026</t>
        </is>
      </c>
      <c r="B56" s="11" t="n">
        <v>8133.5</v>
      </c>
      <c r="C56" s="11" t="n">
        <v>3349.5</v>
      </c>
      <c r="D56" s="11" t="n">
        <v>2366.3</v>
      </c>
      <c r="E56" s="11" t="n">
        <v>2277</v>
      </c>
      <c r="F56" s="11" t="n">
        <v>880.5</v>
      </c>
      <c r="G56" s="11" t="n">
        <v>632.4</v>
      </c>
      <c r="H56" s="11" t="n">
        <v>846</v>
      </c>
      <c r="I56" s="11" t="n">
        <v>612.5</v>
      </c>
      <c r="J56" s="11" t="n">
        <v>310.3</v>
      </c>
      <c r="K56" s="11" t="n">
        <v>1039.9</v>
      </c>
      <c r="L56" s="11" t="n">
        <v>530.6</v>
      </c>
      <c r="M56" s="11" t="n">
        <v>368.4</v>
      </c>
    </row>
  </sheetData>
  <mergeCells count="1">
    <mergeCell ref="A2:C2"/>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F40"/>
  <sheetViews>
    <sheetView showGridLines="0" workbookViewId="0">
      <selection activeCell="A1" sqref="A1"/>
    </sheetView>
  </sheetViews>
  <sheetFormatPr baseColWidth="8" defaultRowHeight="15"/>
  <cols>
    <col width="26" customWidth="1" min="1" max="1"/>
    <col width="12" customWidth="1" min="2" max="2"/>
    <col width="4" customWidth="1" min="3" max="3"/>
    <col width="26" customWidth="1" min="4" max="4"/>
    <col width="12" customWidth="1" min="5" max="5"/>
  </cols>
  <sheetData>
    <row r="1">
      <c r="A1" s="1" t="inlineStr">
        <is>
          <t>Central Banks: Net Reserve Changes</t>
        </is>
      </c>
    </row>
    <row r="2">
      <c r="A2" s="2" t="inlineStr">
        <is>
          <t>Changes_latest_as_of_Sep2026_IFS.xlsx, 'Annual' sheet (World Gold Council / IMF IFS). 2026 column is year-to-date through the September 2026 publication, not a full calendar year.</t>
        </is>
      </c>
    </row>
    <row r="4">
      <c r="A4" s="12" t="inlineStr">
        <is>
          <t>Top buyers - 2025 (tonnes)</t>
        </is>
      </c>
      <c r="D4" s="12" t="inlineStr">
        <is>
          <t>Top sellers - 2025 (tonnes)</t>
        </is>
      </c>
    </row>
    <row r="5">
      <c r="A5" s="14" t="inlineStr">
        <is>
          <t>Country</t>
        </is>
      </c>
      <c r="B5" s="14" t="inlineStr">
        <is>
          <t>Tonnes</t>
        </is>
      </c>
      <c r="D5" s="14" t="inlineStr">
        <is>
          <t>Country</t>
        </is>
      </c>
      <c r="E5" s="14" t="inlineStr">
        <is>
          <t>Tonnes</t>
        </is>
      </c>
    </row>
    <row r="6">
      <c r="A6" t="inlineStr">
        <is>
          <t>Poland</t>
        </is>
      </c>
      <c r="B6" s="11" t="n">
        <v>101.98</v>
      </c>
      <c r="D6" t="inlineStr">
        <is>
          <t>Singapore</t>
        </is>
      </c>
      <c r="E6" s="11" t="n">
        <v>-26.41</v>
      </c>
    </row>
    <row r="7">
      <c r="A7" t="inlineStr">
        <is>
          <t>Kazakhstan</t>
        </is>
      </c>
      <c r="B7" s="11" t="n">
        <v>56.99</v>
      </c>
      <c r="D7" t="inlineStr">
        <is>
          <t>Ghana</t>
        </is>
      </c>
      <c r="E7" s="11" t="n">
        <v>-11.92</v>
      </c>
    </row>
    <row r="8">
      <c r="A8" t="inlineStr">
        <is>
          <t>Azerbaijan (SOFAZ)</t>
        </is>
      </c>
      <c r="B8" s="11" t="n">
        <v>53.4</v>
      </c>
      <c r="D8" t="inlineStr">
        <is>
          <t>Russia</t>
        </is>
      </c>
      <c r="E8" s="11" t="n">
        <v>-6.22</v>
      </c>
    </row>
    <row r="9">
      <c r="A9" t="inlineStr">
        <is>
          <t>Brazil</t>
        </is>
      </c>
      <c r="B9" s="11" t="n">
        <v>42.79</v>
      </c>
      <c r="D9" t="inlineStr">
        <is>
          <t>Germany</t>
        </is>
      </c>
      <c r="E9" s="11" t="n">
        <v>-1.28</v>
      </c>
    </row>
    <row r="10">
      <c r="A10" t="inlineStr">
        <is>
          <t>Turkey</t>
        </is>
      </c>
      <c r="B10" s="11" t="n">
        <v>40.25</v>
      </c>
      <c r="D10" t="inlineStr">
        <is>
          <t>Mexico</t>
        </is>
      </c>
      <c r="E10" s="11" t="n">
        <v>-0.17</v>
      </c>
    </row>
    <row r="11">
      <c r="A11" t="inlineStr">
        <is>
          <t>China</t>
        </is>
      </c>
      <c r="B11" s="11" t="n">
        <v>26.75</v>
      </c>
    </row>
    <row r="12">
      <c r="A12" t="inlineStr">
        <is>
          <t>Czech Rep.</t>
        </is>
      </c>
      <c r="B12" s="11" t="n">
        <v>20.43</v>
      </c>
    </row>
    <row r="13">
      <c r="A13" t="inlineStr">
        <is>
          <t>Iraq</t>
        </is>
      </c>
      <c r="B13" s="11" t="n">
        <v>11.97</v>
      </c>
    </row>
    <row r="14">
      <c r="A14" t="inlineStr">
        <is>
          <t>Cambodia</t>
        </is>
      </c>
      <c r="B14" s="11" t="n">
        <v>7.96</v>
      </c>
    </row>
    <row r="15">
      <c r="A15" t="inlineStr">
        <is>
          <t>Uzbekistan</t>
        </is>
      </c>
      <c r="B15" s="11" t="n">
        <v>7.78</v>
      </c>
    </row>
    <row r="18">
      <c r="A18" s="12" t="inlineStr">
        <is>
          <t>Top cumulative buyers, 2023-2025 (tonnes)</t>
        </is>
      </c>
      <c r="D18" s="12" t="inlineStr">
        <is>
          <t>Top buyers, 2026 YTD (tonnes)</t>
        </is>
      </c>
    </row>
    <row r="19">
      <c r="A19" s="14" t="inlineStr">
        <is>
          <t>Country</t>
        </is>
      </c>
      <c r="B19" s="14" t="inlineStr">
        <is>
          <t>Tonnes</t>
        </is>
      </c>
      <c r="D19" s="14" t="inlineStr">
        <is>
          <t>Country</t>
        </is>
      </c>
      <c r="E19" s="14" t="inlineStr">
        <is>
          <t>Tonnes</t>
        </is>
      </c>
    </row>
    <row r="20">
      <c r="A20" t="inlineStr">
        <is>
          <t>Poland</t>
        </is>
      </c>
      <c r="B20" s="11" t="n">
        <v>321.54</v>
      </c>
      <c r="D20" t="inlineStr">
        <is>
          <t>Poland</t>
        </is>
      </c>
      <c r="E20" s="11" t="n">
        <v>89.98999999999999</v>
      </c>
    </row>
    <row r="21">
      <c r="A21" t="inlineStr">
        <is>
          <t>China</t>
        </is>
      </c>
      <c r="B21" s="11" t="n">
        <v>295.79</v>
      </c>
      <c r="D21" t="inlineStr">
        <is>
          <t>China</t>
        </is>
      </c>
      <c r="E21" s="11" t="n">
        <v>60.03</v>
      </c>
    </row>
    <row r="22">
      <c r="A22" t="inlineStr">
        <is>
          <t>Azerbaijan (SOFAZ)</t>
        </is>
      </c>
      <c r="B22" s="11" t="n">
        <v>98.2</v>
      </c>
      <c r="D22" t="inlineStr">
        <is>
          <t>Uzbekistan</t>
        </is>
      </c>
      <c r="E22" s="11" t="n">
        <v>40.43</v>
      </c>
    </row>
    <row r="23">
      <c r="A23" t="inlineStr">
        <is>
          <t>India</t>
        </is>
      </c>
      <c r="B23" s="11" t="n">
        <v>92.97</v>
      </c>
      <c r="D23" t="inlineStr">
        <is>
          <t>Kazakhstan</t>
        </is>
      </c>
      <c r="E23" s="11" t="n">
        <v>28.71</v>
      </c>
    </row>
    <row r="24">
      <c r="A24" t="inlineStr">
        <is>
          <t>Turkey</t>
        </is>
      </c>
      <c r="B24" s="11" t="n">
        <v>71.95</v>
      </c>
      <c r="D24" t="inlineStr">
        <is>
          <t>Czech Rep.</t>
        </is>
      </c>
      <c r="E24" s="11" t="n">
        <v>12.47</v>
      </c>
    </row>
    <row r="25">
      <c r="A25" t="inlineStr">
        <is>
          <t>Czech Rep.</t>
        </is>
      </c>
      <c r="B25" s="11" t="n">
        <v>59.65</v>
      </c>
      <c r="D25" t="inlineStr">
        <is>
          <t>Singapore</t>
        </is>
      </c>
      <c r="E25" s="11" t="n">
        <v>9.98</v>
      </c>
    </row>
    <row r="26">
      <c r="A26" t="inlineStr">
        <is>
          <t>Iraq</t>
        </is>
      </c>
      <c r="B26" s="11" t="n">
        <v>44.29</v>
      </c>
      <c r="D26" t="inlineStr">
        <is>
          <t>Chile</t>
        </is>
      </c>
      <c r="E26" s="11" t="n">
        <v>9.550000000000001</v>
      </c>
    </row>
    <row r="27">
      <c r="A27" t="inlineStr">
        <is>
          <t>Brazil</t>
        </is>
      </c>
      <c r="B27" s="11" t="n">
        <v>42.79</v>
      </c>
      <c r="D27" t="inlineStr">
        <is>
          <t>Malaysia</t>
        </is>
      </c>
      <c r="E27" s="11" t="n">
        <v>5.91</v>
      </c>
    </row>
    <row r="28">
      <c r="A28" t="inlineStr">
        <is>
          <t>Singapore</t>
        </is>
      </c>
      <c r="B28" s="11" t="n">
        <v>39.81</v>
      </c>
      <c r="D28" t="inlineStr">
        <is>
          <t>Ghana</t>
        </is>
      </c>
      <c r="E28" s="11" t="n">
        <v>5.79</v>
      </c>
    </row>
    <row r="29">
      <c r="A29" t="inlineStr">
        <is>
          <t>Libya</t>
        </is>
      </c>
      <c r="B29" s="11" t="n">
        <v>30.01</v>
      </c>
    </row>
    <row r="30">
      <c r="A30" s="12" t="inlineStr">
        <is>
          <t>Poland case study - reserve build (tonnes)</t>
        </is>
      </c>
    </row>
    <row r="31">
      <c r="A31" s="3" t="inlineStr">
        <is>
          <t>Year</t>
        </is>
      </c>
      <c r="B31" s="3" t="inlineStr">
        <is>
          <t>Tonnes</t>
        </is>
      </c>
    </row>
    <row r="32">
      <c r="A32" t="inlineStr">
        <is>
          <t>2017</t>
        </is>
      </c>
      <c r="B32" s="11" t="n">
        <v>103</v>
      </c>
    </row>
    <row r="33">
      <c r="A33" t="inlineStr">
        <is>
          <t>2019</t>
        </is>
      </c>
      <c r="B33" s="11" t="n">
        <v>228.6</v>
      </c>
    </row>
    <row r="34">
      <c r="A34" t="inlineStr">
        <is>
          <t>2022</t>
        </is>
      </c>
      <c r="B34" s="11" t="n">
        <v>228.7</v>
      </c>
    </row>
    <row r="35">
      <c r="A35" t="inlineStr">
        <is>
          <t>2023</t>
        </is>
      </c>
      <c r="B35" s="11" t="n">
        <v>358.7</v>
      </c>
    </row>
    <row r="36">
      <c r="A36" t="inlineStr">
        <is>
          <t>2024</t>
        </is>
      </c>
      <c r="B36" s="11" t="n">
        <v>448.2</v>
      </c>
    </row>
    <row r="37">
      <c r="A37" t="inlineStr">
        <is>
          <t>2025</t>
        </is>
      </c>
      <c r="B37" s="11" t="n">
        <v>550.2</v>
      </c>
    </row>
    <row r="38">
      <c r="A38" t="inlineStr">
        <is>
          <t>Q2 2026</t>
        </is>
      </c>
      <c r="B38" s="11" t="n">
        <v>632.4</v>
      </c>
    </row>
    <row r="40">
      <c r="A40" s="2" t="inlineStr">
        <is>
          <t>Poland has been the single largest net buyer of gold of any central bank over 2023-2026 (+321.5t cumulative 2023-2025, +90t further in 2026 YTD), more than quintupling its reserve since 2017 as part of a publicly stated diversification strategy.</t>
        </is>
      </c>
    </row>
  </sheetData>
  <mergeCells count="2">
    <mergeCell ref="A40:F40"/>
    <mergeCell ref="A2:C2"/>
  </mergeCells>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F35"/>
  <sheetViews>
    <sheetView showGridLines="0" workbookViewId="0">
      <selection activeCell="A1" sqref="A1"/>
    </sheetView>
  </sheetViews>
  <sheetFormatPr baseColWidth="8" defaultRowHeight="15"/>
  <cols>
    <col width="24" customWidth="1" min="1" max="1"/>
    <col width="20" customWidth="1" min="2" max="2"/>
    <col width="16" customWidth="1" min="3" max="3"/>
  </cols>
  <sheetData>
    <row r="1">
      <c r="A1" s="1" t="inlineStr">
        <is>
          <t>The Selling Era: Central Bank Gold Agreements, 1999-2019</t>
        </is>
      </c>
    </row>
    <row r="2" ht="45" customHeight="1">
      <c r="A2" s="2" t="inlineStr">
        <is>
          <t>CBGA_sales.xlsx (World Gold Council, sourced from IMF IFS / ECB Weekly Financial Statement), sheets 'CBGA' and 'Sheet1'. Under three successive Central Bank Gold Agreements (1999-2019), European central banks coordinated and capped their gross gold sales; the agreements were quietly left to lapse after 2019 as signatories had become structural net buyers instead.</t>
        </is>
      </c>
    </row>
    <row r="5">
      <c r="A5" s="3" t="inlineStr">
        <is>
          <t>Agreement year (ending)</t>
        </is>
      </c>
      <c r="B5" s="3" t="inlineStr">
        <is>
          <t>Reported gross sales (t)</t>
        </is>
      </c>
      <c r="C5" s="3" t="inlineStr">
        <is>
          <t>Agreed limit (t)</t>
        </is>
      </c>
    </row>
    <row r="6">
      <c r="A6" t="n">
        <v>2000</v>
      </c>
      <c r="B6" s="11" t="n">
        <v>400</v>
      </c>
      <c r="C6" t="n">
        <v>400</v>
      </c>
    </row>
    <row r="7">
      <c r="A7" t="n">
        <v>2001</v>
      </c>
      <c r="B7" s="11" t="n">
        <v>404</v>
      </c>
      <c r="C7" t="n">
        <v>400</v>
      </c>
    </row>
    <row r="8">
      <c r="A8" t="n">
        <v>2002</v>
      </c>
      <c r="B8" s="11" t="n">
        <v>393.1</v>
      </c>
      <c r="C8" t="n">
        <v>400</v>
      </c>
    </row>
    <row r="9">
      <c r="A9" t="n">
        <v>2003</v>
      </c>
      <c r="B9" s="11" t="n">
        <v>418.1</v>
      </c>
      <c r="C9" t="n">
        <v>400</v>
      </c>
    </row>
    <row r="10">
      <c r="A10" t="n">
        <v>2004</v>
      </c>
      <c r="B10" s="11" t="n">
        <v>385</v>
      </c>
      <c r="C10" t="n">
        <v>400</v>
      </c>
    </row>
    <row r="11">
      <c r="A11" t="n">
        <v>2005</v>
      </c>
      <c r="B11" s="11" t="n">
        <v>497.2</v>
      </c>
      <c r="C11" t="n">
        <v>500</v>
      </c>
    </row>
    <row r="12">
      <c r="A12" t="n">
        <v>2006</v>
      </c>
      <c r="B12" s="11" t="n">
        <v>395.6</v>
      </c>
      <c r="C12" t="n">
        <v>500</v>
      </c>
    </row>
    <row r="13">
      <c r="A13" t="n">
        <v>2007</v>
      </c>
      <c r="B13" s="11" t="n">
        <v>475.2</v>
      </c>
      <c r="C13" t="n">
        <v>500</v>
      </c>
    </row>
    <row r="14">
      <c r="A14" t="n">
        <v>2008</v>
      </c>
      <c r="B14" s="11" t="n">
        <v>358.3</v>
      </c>
      <c r="C14" t="n">
        <v>500</v>
      </c>
    </row>
    <row r="15">
      <c r="A15" t="n">
        <v>2009</v>
      </c>
      <c r="B15" s="11" t="n">
        <v>156.6</v>
      </c>
      <c r="C15" t="n">
        <v>500</v>
      </c>
    </row>
    <row r="16">
      <c r="A16" t="n">
        <v>2010</v>
      </c>
      <c r="B16" s="11" t="n">
        <v>136.1</v>
      </c>
      <c r="C16" t="n">
        <v>400</v>
      </c>
    </row>
    <row r="17">
      <c r="A17" t="n">
        <v>2011</v>
      </c>
      <c r="B17" s="11" t="n">
        <v>53.3</v>
      </c>
      <c r="C17" t="n">
        <v>400</v>
      </c>
    </row>
    <row r="18">
      <c r="A18" t="n">
        <v>2012</v>
      </c>
      <c r="B18" s="11" t="n">
        <v>5.9</v>
      </c>
      <c r="C18" t="n">
        <v>400</v>
      </c>
    </row>
    <row r="19">
      <c r="A19" t="n">
        <v>2013</v>
      </c>
      <c r="B19" s="11" t="n">
        <v>5.1</v>
      </c>
      <c r="C19" t="n">
        <v>400</v>
      </c>
    </row>
    <row r="20">
      <c r="A20" t="n">
        <v>2014</v>
      </c>
      <c r="B20" s="11" t="n">
        <v>6.8</v>
      </c>
      <c r="C20" t="n">
        <v>400</v>
      </c>
    </row>
    <row r="21">
      <c r="A21" t="n">
        <v>2015</v>
      </c>
      <c r="B21" s="11" t="n">
        <v>3.4</v>
      </c>
    </row>
    <row r="22">
      <c r="A22" t="n">
        <v>2016</v>
      </c>
      <c r="B22" s="11" t="n">
        <v>3.1</v>
      </c>
    </row>
    <row r="23">
      <c r="A23" t="n">
        <v>2017</v>
      </c>
      <c r="B23" s="11" t="n">
        <v>4.2</v>
      </c>
    </row>
    <row r="24">
      <c r="A24" t="n">
        <v>2018</v>
      </c>
      <c r="B24" s="11" t="n">
        <v>4</v>
      </c>
    </row>
    <row r="25">
      <c r="A25" t="n">
        <v>2019</v>
      </c>
      <c r="B25" s="11" t="n">
        <v>3</v>
      </c>
    </row>
    <row r="28">
      <c r="A28" s="12" t="inlineStr">
        <is>
          <t>Top sellers under CBGA1 (Sept 1999 - Sept 2004, tonnes)</t>
        </is>
      </c>
    </row>
    <row r="29">
      <c r="A29" s="3" t="inlineStr">
        <is>
          <t>Country</t>
        </is>
      </c>
      <c r="B29" s="3" t="inlineStr">
        <is>
          <t>Tonnes sold</t>
        </is>
      </c>
    </row>
    <row r="30">
      <c r="A30" t="inlineStr">
        <is>
          <t>Switzerland</t>
        </is>
      </c>
      <c r="B30" s="11" t="n">
        <v>1170</v>
      </c>
    </row>
    <row r="31">
      <c r="A31" t="inlineStr">
        <is>
          <t>United Kingdom</t>
        </is>
      </c>
      <c r="B31" s="11" t="n">
        <v>345</v>
      </c>
    </row>
    <row r="32">
      <c r="A32" t="inlineStr">
        <is>
          <t>Netherlands</t>
        </is>
      </c>
      <c r="B32" s="11" t="n">
        <v>235.2</v>
      </c>
    </row>
    <row r="33">
      <c r="A33" t="inlineStr">
        <is>
          <t>Portugal</t>
        </is>
      </c>
      <c r="B33" s="11" t="n">
        <v>124.8</v>
      </c>
    </row>
    <row r="34">
      <c r="A34" t="inlineStr">
        <is>
          <t>Austria</t>
        </is>
      </c>
      <c r="B34" s="11" t="n">
        <v>90</v>
      </c>
    </row>
    <row r="35">
      <c r="A35" t="inlineStr">
        <is>
          <t>Germany</t>
        </is>
      </c>
      <c r="B35" s="11" t="n">
        <v>35.2</v>
      </c>
    </row>
  </sheetData>
  <mergeCells count="1">
    <mergeCell ref="A2:F2"/>
  </mergeCells>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F22"/>
  <sheetViews>
    <sheetView showGridLines="0" workbookViewId="0">
      <selection activeCell="A1" sqref="A1"/>
    </sheetView>
  </sheetViews>
  <sheetFormatPr baseColWidth="8" defaultRowHeight="15"/>
  <cols>
    <col width="18" customWidth="1" min="1" max="1"/>
    <col width="18" customWidth="1" min="2" max="2"/>
    <col width="20" customWidth="1" min="3" max="3"/>
  </cols>
  <sheetData>
    <row r="1">
      <c r="A1" s="1" t="inlineStr">
        <is>
          <t>Gold Mine Production by Country</t>
        </is>
      </c>
    </row>
    <row r="2">
      <c r="A2" s="6" t="inlineStr">
        <is>
          <t>2025 estimate (USGS Mineral Commodity Summaries 2026)</t>
        </is>
      </c>
    </row>
    <row r="4">
      <c r="A4" s="3" t="inlineStr">
        <is>
          <t>Country</t>
        </is>
      </c>
      <c r="B4" s="3" t="inlineStr">
        <is>
          <t>Tonnes (2025 est.)</t>
        </is>
      </c>
      <c r="C4" s="3" t="inlineStr">
        <is>
          <t>% of world production</t>
        </is>
      </c>
    </row>
    <row r="5">
      <c r="A5" t="inlineStr">
        <is>
          <t>China</t>
        </is>
      </c>
      <c r="B5" s="15" t="n">
        <v>380</v>
      </c>
      <c r="C5" s="13" t="n">
        <v>0.1151515151515152</v>
      </c>
    </row>
    <row r="6">
      <c r="A6" t="inlineStr">
        <is>
          <t>Russia</t>
        </is>
      </c>
      <c r="B6" s="15" t="n">
        <v>310</v>
      </c>
      <c r="C6" s="13" t="n">
        <v>0.09393939393939393</v>
      </c>
    </row>
    <row r="7">
      <c r="A7" t="inlineStr">
        <is>
          <t>Australia</t>
        </is>
      </c>
      <c r="B7" s="15" t="n">
        <v>280</v>
      </c>
      <c r="C7" s="13" t="n">
        <v>0.08484848484848485</v>
      </c>
    </row>
    <row r="8">
      <c r="A8" t="inlineStr">
        <is>
          <t>Canada</t>
        </is>
      </c>
      <c r="B8" s="15" t="n">
        <v>200</v>
      </c>
      <c r="C8" s="13" t="n">
        <v>0.06060606060606061</v>
      </c>
    </row>
    <row r="9">
      <c r="A9" t="inlineStr">
        <is>
          <t>United States</t>
        </is>
      </c>
      <c r="B9" s="15" t="n">
        <v>160</v>
      </c>
      <c r="C9" s="13" t="n">
        <v>0.04848484848484848</v>
      </c>
    </row>
    <row r="10">
      <c r="A10" t="inlineStr">
        <is>
          <t>Ghana</t>
        </is>
      </c>
      <c r="B10" s="15" t="n">
        <v>150</v>
      </c>
      <c r="C10" s="13" t="n">
        <v>0.04545454545454546</v>
      </c>
    </row>
    <row r="11">
      <c r="A11" t="inlineStr">
        <is>
          <t>Mexico</t>
        </is>
      </c>
      <c r="B11" s="15" t="n">
        <v>140</v>
      </c>
      <c r="C11" s="13" t="n">
        <v>0.04242424242424243</v>
      </c>
    </row>
    <row r="12">
      <c r="A12" t="inlineStr">
        <is>
          <t>Kazakhstan</t>
        </is>
      </c>
      <c r="B12" s="15" t="n">
        <v>130</v>
      </c>
      <c r="C12" s="13" t="n">
        <v>0.03939393939393939</v>
      </c>
    </row>
    <row r="13">
      <c r="A13" t="inlineStr">
        <is>
          <t>Uzbekistan</t>
        </is>
      </c>
      <c r="B13" s="15" t="n">
        <v>130</v>
      </c>
      <c r="C13" s="13" t="n">
        <v>0.03939393939393939</v>
      </c>
    </row>
    <row r="14">
      <c r="A14" t="inlineStr">
        <is>
          <t>Peru</t>
        </is>
      </c>
      <c r="B14" s="15" t="n">
        <v>110</v>
      </c>
      <c r="C14" s="13" t="n">
        <v>0.03333333333333333</v>
      </c>
    </row>
    <row r="15">
      <c r="A15" t="inlineStr">
        <is>
          <t>Indonesia</t>
        </is>
      </c>
      <c r="B15" s="15" t="n">
        <v>100</v>
      </c>
      <c r="C15" s="13" t="n">
        <v>0.0303030303030303</v>
      </c>
    </row>
    <row r="16">
      <c r="A16" t="inlineStr">
        <is>
          <t>South Africa</t>
        </is>
      </c>
      <c r="B16" s="15" t="n">
        <v>95</v>
      </c>
      <c r="C16" s="13" t="n">
        <v>0.02878787878787879</v>
      </c>
    </row>
    <row r="17">
      <c r="A17" t="inlineStr">
        <is>
          <t>Brazil</t>
        </is>
      </c>
      <c r="B17" s="15" t="n">
        <v>80</v>
      </c>
      <c r="C17" s="13" t="n">
        <v>0.02424242424242424</v>
      </c>
    </row>
    <row r="18">
      <c r="A18" t="inlineStr">
        <is>
          <t>Sudan</t>
        </is>
      </c>
      <c r="B18" s="15" t="n">
        <v>75</v>
      </c>
      <c r="C18" s="13" t="n">
        <v>0.02272727272727273</v>
      </c>
    </row>
    <row r="19">
      <c r="A19" t="inlineStr">
        <is>
          <t>Mali</t>
        </is>
      </c>
      <c r="B19" s="15" t="n">
        <v>65</v>
      </c>
      <c r="C19" s="13" t="n">
        <v>0.0196969696969697</v>
      </c>
    </row>
    <row r="21">
      <c r="A21" s="10" t="inlineStr">
        <is>
          <t>World total 2025: 3,300 t  (2024: 3,280 t)</t>
        </is>
      </c>
    </row>
    <row r="22">
      <c r="A22" s="2" t="inlineStr">
        <is>
          <t>USGS, Mineral Commodity Summaries 2026 - Gold (https://pubs.usgs.gov/periodicals/mcs2026/mcs2026-gold.pdf): world total ~3,300t (2025) vs 3,280t (2024); China, Russia, Australia, Canada and the United States are named as the top five producers, in that order. Full top-15 country tonnages are a secondary compilation of the same USGS dataset (flagged as such since USGS's own PDF table could not be fully extracted here).</t>
        </is>
      </c>
    </row>
  </sheetData>
  <mergeCells count="2">
    <mergeCell ref="A22:F22"/>
    <mergeCell ref="A2:D2"/>
  </mergeCell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7.xml><?xml version="1.0" encoding="utf-8"?>
<worksheet xmlns="http://schemas.openxmlformats.org/spreadsheetml/2006/main">
  <sheetPr>
    <outlinePr summaryBelow="1" summaryRight="1"/>
    <pageSetUpPr/>
  </sheetPr>
  <dimension ref="A1:F33"/>
  <sheetViews>
    <sheetView showGridLines="0" workbookViewId="0">
      <selection activeCell="A1" sqref="A1"/>
    </sheetView>
  </sheetViews>
  <sheetFormatPr baseColWidth="8" defaultRowHeight="15"/>
  <cols>
    <col width="10" customWidth="1" min="1" max="1"/>
    <col width="18" customWidth="1" min="2" max="2"/>
    <col width="14" customWidth="1" min="3" max="3"/>
  </cols>
  <sheetData>
    <row r="1">
      <c r="A1" s="1" t="inlineStr">
        <is>
          <t>Gold Price - LBMA Annual Average (USD/oz)</t>
        </is>
      </c>
    </row>
    <row r="4">
      <c r="A4" s="3" t="inlineStr">
        <is>
          <t>Year</t>
        </is>
      </c>
      <c r="B4" s="3" t="inlineStr">
        <is>
          <t>Avg price USD/oz</t>
        </is>
      </c>
      <c r="C4" s="3" t="inlineStr">
        <is>
          <t>YoY change</t>
        </is>
      </c>
    </row>
    <row r="5">
      <c r="A5" t="n">
        <v>2010</v>
      </c>
      <c r="B5" s="16" t="n">
        <v>1224.5</v>
      </c>
    </row>
    <row r="6">
      <c r="A6" t="n">
        <v>2011</v>
      </c>
      <c r="B6" s="16" t="n">
        <v>1571.5</v>
      </c>
      <c r="C6" s="13" t="n">
        <v>0.2833809718252348</v>
      </c>
    </row>
    <row r="7">
      <c r="A7" t="n">
        <v>2012</v>
      </c>
      <c r="B7" s="16" t="n">
        <v>1669</v>
      </c>
      <c r="C7" s="13" t="n">
        <v>0.06204263442570792</v>
      </c>
    </row>
    <row r="8">
      <c r="A8" t="n">
        <v>2013</v>
      </c>
      <c r="B8" s="16" t="n">
        <v>1411.2</v>
      </c>
      <c r="C8" s="13" t="n">
        <v>-0.1544637507489514</v>
      </c>
    </row>
    <row r="9">
      <c r="A9" t="n">
        <v>2014</v>
      </c>
      <c r="B9" s="16" t="n">
        <v>1266.4</v>
      </c>
      <c r="C9" s="13" t="n">
        <v>-0.1026077097505669</v>
      </c>
    </row>
    <row r="10">
      <c r="A10" t="n">
        <v>2015</v>
      </c>
      <c r="B10" s="16" t="n">
        <v>1160.1</v>
      </c>
      <c r="C10" s="13" t="n">
        <v>-0.08393872394188263</v>
      </c>
    </row>
    <row r="11">
      <c r="A11" t="n">
        <v>2016</v>
      </c>
      <c r="B11" s="16" t="n">
        <v>1250.8</v>
      </c>
      <c r="C11" s="13" t="n">
        <v>0.0781829152659254</v>
      </c>
    </row>
    <row r="12">
      <c r="A12" t="n">
        <v>2017</v>
      </c>
      <c r="B12" s="16" t="n">
        <v>1257.6</v>
      </c>
      <c r="C12" s="13" t="n">
        <v>0.005436520626798813</v>
      </c>
    </row>
    <row r="13">
      <c r="A13" t="n">
        <v>2018</v>
      </c>
      <c r="B13" s="16" t="n">
        <v>1269.2</v>
      </c>
      <c r="C13" s="13" t="n">
        <v>0.009223918575063722</v>
      </c>
    </row>
    <row r="14">
      <c r="A14" t="n">
        <v>2019</v>
      </c>
      <c r="B14" s="16" t="n">
        <v>1392.6</v>
      </c>
      <c r="C14" s="13" t="n">
        <v>0.0972265994327134</v>
      </c>
    </row>
    <row r="15">
      <c r="A15" t="n">
        <v>2020</v>
      </c>
      <c r="B15" s="16" t="n">
        <v>1770</v>
      </c>
      <c r="C15" s="13" t="n">
        <v>0.2710038776389488</v>
      </c>
    </row>
    <row r="16">
      <c r="A16" t="n">
        <v>2021</v>
      </c>
      <c r="B16" s="16" t="n">
        <v>1799.3</v>
      </c>
      <c r="C16" s="13" t="n">
        <v>0.01655367231638415</v>
      </c>
    </row>
    <row r="17">
      <c r="A17" t="n">
        <v>2022</v>
      </c>
      <c r="B17" s="16" t="n">
        <v>1800.1</v>
      </c>
      <c r="C17" s="13" t="n">
        <v>0.000444617351192105</v>
      </c>
    </row>
    <row r="18">
      <c r="A18" t="n">
        <v>2023</v>
      </c>
      <c r="B18" s="16" t="n">
        <v>1940.5</v>
      </c>
      <c r="C18" s="13" t="n">
        <v>0.07799566690739408</v>
      </c>
    </row>
    <row r="19">
      <c r="A19" t="n">
        <v>2024</v>
      </c>
      <c r="B19" s="16" t="n">
        <v>2386.2</v>
      </c>
      <c r="C19" s="13" t="n">
        <v>0.2296830713733573</v>
      </c>
    </row>
    <row r="20">
      <c r="A20" t="n">
        <v>2025</v>
      </c>
      <c r="B20" s="16" t="n">
        <v>3432</v>
      </c>
      <c r="C20" s="13" t="n">
        <v>0.4382700528036209</v>
      </c>
    </row>
    <row r="22">
      <c r="A22" s="2" t="inlineStr">
        <is>
          <t>LBMA Gold Price annual averages, as tabulated by Bangko Sentral ng Pilipinas (2010-2023) and metalcharts.org (2024-2025). 2025 average $3,432/oz, +43.8% y/y, trading range $2,615-$4,550.</t>
        </is>
      </c>
    </row>
    <row r="23">
      <c r="A23" s="12" t="inlineStr">
        <is>
          <t>Central bank annual net purchases vs. gold price</t>
        </is>
      </c>
    </row>
    <row r="24">
      <c r="A24" s="3" t="inlineStr">
        <is>
          <t>Year</t>
        </is>
      </c>
      <c r="B24" s="3" t="inlineStr">
        <is>
          <t>Central bank net purchases (t)</t>
        </is>
      </c>
      <c r="C24" s="3" t="inlineStr">
        <is>
          <t>Avg price (USD/oz)</t>
        </is>
      </c>
    </row>
    <row r="25">
      <c r="A25" t="n">
        <v>2019</v>
      </c>
      <c r="B25" s="11" t="n">
        <v>668</v>
      </c>
      <c r="C25" s="16" t="n">
        <v>1392.6</v>
      </c>
    </row>
    <row r="26">
      <c r="A26" t="n">
        <v>2020</v>
      </c>
      <c r="B26" s="11" t="n">
        <v>255</v>
      </c>
      <c r="C26" s="16" t="n">
        <v>1770</v>
      </c>
    </row>
    <row r="27">
      <c r="A27" t="n">
        <v>2021</v>
      </c>
      <c r="B27" s="11" t="n">
        <v>463.1</v>
      </c>
      <c r="C27" s="16" t="n">
        <v>1799.3</v>
      </c>
    </row>
    <row r="28">
      <c r="A28" t="n">
        <v>2022</v>
      </c>
      <c r="B28" s="11" t="n">
        <v>1136</v>
      </c>
      <c r="C28" s="16" t="n">
        <v>1800.1</v>
      </c>
    </row>
    <row r="29">
      <c r="A29" t="n">
        <v>2023</v>
      </c>
      <c r="B29" s="11" t="n">
        <v>1037</v>
      </c>
      <c r="C29" s="16" t="n">
        <v>1940.5</v>
      </c>
    </row>
    <row r="30">
      <c r="A30" t="n">
        <v>2024</v>
      </c>
      <c r="B30" s="11" t="n">
        <v>1092.4</v>
      </c>
      <c r="C30" s="16" t="n">
        <v>2386.2</v>
      </c>
    </row>
    <row r="31">
      <c r="A31" t="n">
        <v>2025</v>
      </c>
      <c r="B31" s="11" t="n">
        <v>863.3</v>
      </c>
      <c r="C31" s="16" t="n">
        <v>3432</v>
      </c>
    </row>
    <row r="33">
      <c r="A33" s="2" t="inlineStr">
        <is>
          <t>World Gold Council, Gold Demand Trends (Q1 2021, Full Year 2021, Full Year 2023 and Full Year 2025 editions), Metals Focus / Refinitiv GFMS methodology. Central banks have been net buyers every year since 2010; the 2010-2021 annual average was 473t. This 'estimated' series (which includes modelled unreported buying) is a different methodology to the IFS-reported-only annual-change figures above and should not be summed with them.</t>
        </is>
      </c>
    </row>
  </sheetData>
  <mergeCells count="2">
    <mergeCell ref="A33:F33"/>
    <mergeCell ref="A22:F22"/>
  </mergeCells>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F18"/>
  <sheetViews>
    <sheetView showGridLines="0" workbookViewId="0">
      <selection activeCell="A1" sqref="A1"/>
    </sheetView>
  </sheetViews>
  <sheetFormatPr baseColWidth="8" defaultRowHeight="15"/>
  <cols>
    <col width="30" customWidth="1" min="1" max="1"/>
    <col width="12" customWidth="1" min="2" max="2"/>
    <col width="12" customWidth="1" min="3" max="3"/>
  </cols>
  <sheetData>
    <row r="1">
      <c r="A1" s="1" t="inlineStr">
        <is>
          <t>Global Gold Demand by Sector</t>
        </is>
      </c>
    </row>
    <row r="2">
      <c r="A2" s="6" t="inlineStr">
        <is>
          <t>Full Year 2025 (World Gold Council Gold Demand Trends)</t>
        </is>
      </c>
    </row>
    <row r="4">
      <c r="A4" s="3" t="inlineStr">
        <is>
          <t>Sector</t>
        </is>
      </c>
      <c r="B4" s="3" t="inlineStr">
        <is>
          <t>Tonnes</t>
        </is>
      </c>
      <c r="C4" s="3" t="inlineStr">
        <is>
          <t>% of total</t>
        </is>
      </c>
    </row>
    <row r="5">
      <c r="A5" t="inlineStr">
        <is>
          <t>Bar &amp; coin investment</t>
        </is>
      </c>
      <c r="B5" s="15" t="n">
        <v>1374</v>
      </c>
      <c r="C5" s="13" t="n">
        <v>0.2746901239504198</v>
      </c>
    </row>
    <row r="6">
      <c r="A6" t="inlineStr">
        <is>
          <t>Jewellery</t>
        </is>
      </c>
      <c r="B6" s="15" t="n">
        <v>1477</v>
      </c>
      <c r="C6" s="13" t="n">
        <v>0.295281887245102</v>
      </c>
    </row>
    <row r="7">
      <c r="A7" t="inlineStr">
        <is>
          <t>Central banks (net)</t>
        </is>
      </c>
      <c r="B7" s="15" t="n">
        <v>863</v>
      </c>
      <c r="C7" s="13" t="n">
        <v>0.172530987604958</v>
      </c>
    </row>
    <row r="8">
      <c r="A8" t="inlineStr">
        <is>
          <t>Gold ETFs (net inflows)</t>
        </is>
      </c>
      <c r="B8" s="15" t="n">
        <v>801</v>
      </c>
      <c r="C8" s="13" t="n">
        <v>0.1601359456217513</v>
      </c>
    </row>
    <row r="9">
      <c r="A9" t="inlineStr">
        <is>
          <t>Technology</t>
        </is>
      </c>
      <c r="B9" s="15" t="n">
        <v>335</v>
      </c>
      <c r="C9" s="13" t="n">
        <v>0.06697321071571372</v>
      </c>
    </row>
    <row r="10">
      <c r="A10" t="inlineStr">
        <is>
          <t>OTC &amp; statistical residual</t>
        </is>
      </c>
      <c r="B10" s="15" t="n">
        <v>152</v>
      </c>
      <c r="C10" s="13" t="n">
        <v>0.03038784486205518</v>
      </c>
    </row>
    <row r="11">
      <c r="A11" s="10" t="inlineStr">
        <is>
          <t>Total</t>
        </is>
      </c>
      <c r="B11" s="15" t="n">
        <v>5002</v>
      </c>
    </row>
    <row r="13">
      <c r="A13" s="12" t="inlineStr">
        <is>
          <t>Supply side (tonnes, FY2025, Metals Focus methodology)</t>
        </is>
      </c>
    </row>
    <row r="15">
      <c r="A15" t="inlineStr">
        <is>
          <t>Mine production</t>
        </is>
      </c>
      <c r="B15" s="11" t="n">
        <v>3671.6</v>
      </c>
    </row>
    <row r="16">
      <c r="A16" t="inlineStr">
        <is>
          <t>Recycled gold</t>
        </is>
      </c>
      <c r="B16" s="11" t="n">
        <v>1384</v>
      </c>
    </row>
    <row r="18">
      <c r="A18" s="2" t="inlineStr">
        <is>
          <t>World Gold Council, Gold Demand Trends Full Year 2025 (https://www.gold.org/goldhub/research/gold-demand-trends/gold-demand-trends-full-year-2025): record 5,002t / $555bn total demand; investment demand (ETFs +801t net inflows, bar &amp; coin 1,374t) was the primary driver; jewellery volume -18% y/y even as jewellery value rose to $172bn; central banks added 863t; mine production 3,671.6t (Metals Focus methodology - not directly comparable to the USGS country table above).</t>
        </is>
      </c>
    </row>
  </sheetData>
  <mergeCells count="1">
    <mergeCell ref="A18:F18"/>
  </mergeCells>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F20"/>
  <sheetViews>
    <sheetView showGridLines="0" workbookViewId="0">
      <selection activeCell="A1" sqref="A1"/>
    </sheetView>
  </sheetViews>
  <sheetFormatPr baseColWidth="8" defaultRowHeight="15"/>
  <cols>
    <col width="30" customWidth="1" min="1" max="1"/>
    <col width="26" customWidth="1" min="2" max="2"/>
    <col width="26" customWidth="1" min="3" max="3"/>
  </cols>
  <sheetData>
    <row r="1">
      <c r="A1" s="1" t="inlineStr">
        <is>
          <t>Illustrative 2026-2030 Trend Model</t>
        </is>
      </c>
    </row>
    <row r="2" ht="45" customHeight="1">
      <c r="A2" s="2" t="inlineStr">
        <is>
          <t>The 2026-2030 lines in the 'Forecast' sheet are a simple trend-extrapolation model (CAGR off the real 2015-2025 price/reserve series), built to demonstrate a planning workflow - NOT a price prediction. The qualitative direction (continued central-bank buying led by Poland and China, soft jewellery volumes, strong investment demand) reflects the actual FY2025/2026-YTD data above.</t>
        </is>
      </c>
    </row>
    <row r="4">
      <c r="A4" s="12" t="inlineStr">
        <is>
          <t>Model inputs (from real 2015-2025 data)</t>
        </is>
      </c>
    </row>
    <row r="5">
      <c r="A5" t="inlineStr">
        <is>
          <t>Gold price 10yr CAGR (2015-2025)</t>
        </is>
      </c>
      <c r="B5" s="13" t="n">
        <v>0.1145644461415698</v>
      </c>
    </row>
    <row r="6">
      <c r="A6" t="inlineStr">
        <is>
          <t>World reserves 10yr CAGR (2015-2025)</t>
        </is>
      </c>
      <c r="B6" s="13" t="n">
        <v>0.01027574471947901</v>
      </c>
    </row>
    <row r="8">
      <c r="A8" s="3" t="inlineStr">
        <is>
          <t>Year</t>
        </is>
      </c>
      <c r="B8" s="3" t="inlineStr">
        <is>
          <t>Projected price (USD/oz)</t>
        </is>
      </c>
      <c r="C8" s="3" t="inlineStr">
        <is>
          <t>Projected world reserves (t)</t>
        </is>
      </c>
    </row>
    <row r="9">
      <c r="A9" t="n">
        <v>2026</v>
      </c>
      <c r="B9" s="16" t="n">
        <v>3825.185179157867</v>
      </c>
      <c r="C9" s="15" t="n">
        <v>36947.80453588079</v>
      </c>
    </row>
    <row r="10">
      <c r="A10" t="n">
        <v>2027</v>
      </c>
      <c r="B10" s="16" t="n">
        <v>4263.41540059703</v>
      </c>
      <c r="C10" s="15" t="n">
        <v>37327.47074323671</v>
      </c>
    </row>
    <row r="11">
      <c r="A11" t="n">
        <v>2028</v>
      </c>
      <c r="B11" s="16" t="n">
        <v>4751.851224637868</v>
      </c>
      <c r="C11" s="15" t="n">
        <v>37711.03830361803</v>
      </c>
    </row>
    <row r="12">
      <c r="A12" t="n">
        <v>2029</v>
      </c>
      <c r="B12" s="16" t="n">
        <v>5296.244428335645</v>
      </c>
      <c r="C12" s="15" t="n">
        <v>38098.5473063325</v>
      </c>
    </row>
    <row r="13">
      <c r="A13" t="n">
        <v>2030</v>
      </c>
      <c r="B13" s="16" t="n">
        <v>5903.005737898294</v>
      </c>
      <c r="C13" s="15" t="n">
        <v>38490.03825263537</v>
      </c>
    </row>
    <row r="16">
      <c r="A16" s="10" t="inlineStr">
        <is>
          <t>Qualitative outlook drivers (from real FY2025/2026-YTD data, not modeled numerically):</t>
        </is>
      </c>
    </row>
    <row r="17">
      <c r="A17" s="17" t="inlineStr">
        <is>
          <t>- Central-bank buying: Poland (+90t YTD) and China (+60t YTD) remain the largest 2026 buyers so far.</t>
        </is>
      </c>
    </row>
    <row r="18">
      <c r="A18" s="17" t="inlineStr">
        <is>
          <t>- Investment demand (ETFs + bar/coin) was the primary driver of 2025's record $555bn total demand.</t>
        </is>
      </c>
    </row>
    <row r="19">
      <c r="A19" s="17" t="inlineStr">
        <is>
          <t>- Jewellery volumes fell -18% y/y in 2025 as high prices priced out some buyers, even as jewellery value rose to $172bn.</t>
        </is>
      </c>
    </row>
    <row r="20">
      <c r="A20" s="17" t="inlineStr">
        <is>
          <t>- Mine supply is growing slowly (~1%/yr); recycling is the more responsive supply lever when prices rise.</t>
        </is>
      </c>
    </row>
  </sheetData>
  <mergeCells count="5">
    <mergeCell ref="A2:F2"/>
    <mergeCell ref="A19:F19"/>
    <mergeCell ref="A17:F17"/>
    <mergeCell ref="A18:F18"/>
    <mergeCell ref="A20:F20"/>
  </mergeCells>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D13"/>
  <sheetViews>
    <sheetView showGridLines="0" workbookViewId="0">
      <selection activeCell="A1" sqref="A1"/>
    </sheetView>
  </sheetViews>
  <sheetFormatPr baseColWidth="8" defaultRowHeight="15"/>
  <cols>
    <col width="28" customWidth="1" min="1" max="1"/>
    <col width="20" customWidth="1" min="2" max="2"/>
    <col width="70" customWidth="1" min="3" max="3"/>
    <col width="45" customWidth="1" min="4" max="4"/>
  </cols>
  <sheetData>
    <row r="1">
      <c r="A1" s="1" t="inlineStr">
        <is>
          <t>Data Sources &amp; Methodology</t>
        </is>
      </c>
    </row>
    <row r="3">
      <c r="A3" s="3" t="inlineStr">
        <is>
          <t>Table / topic</t>
        </is>
      </c>
      <c r="B3" s="3" t="inlineStr">
        <is>
          <t>As of</t>
        </is>
      </c>
      <c r="C3" s="3" t="inlineStr">
        <is>
          <t>Citation</t>
        </is>
      </c>
      <c r="D3" s="3" t="inlineStr">
        <is>
          <t>URL</t>
        </is>
      </c>
    </row>
    <row r="4" ht="45" customHeight="1">
      <c r="A4" t="inlineStr">
        <is>
          <t>Official gold reserves by country (snapshot)</t>
        </is>
      </c>
      <c r="B4" t="inlineStr">
        <is>
          <t>World Gold Council / IMF IFS, September 2026 publication (holdings dated Apr-Jul 2026 per country)</t>
        </is>
      </c>
      <c r="C4" s="17" t="inlineStr">
        <is>
          <t>World Gold Council / IMF International Financial Statistics, September 2026 publication (source: https://www.gold.org/goldhub/data/gold-reserves-by-country, file: World_official_gold_holdings_as_of_Sep2026_IFS.xlsx). World total across all 100 IFS-reporting entities: 36,829.3 tonnes.</t>
        </is>
      </c>
      <c r="D4" t="inlineStr">
        <is>
          <t>https://www.gold.org/goldhub/data/gold-reserves-by-country</t>
        </is>
      </c>
    </row>
    <row r="5" ht="45" customHeight="1">
      <c r="A5" t="inlineStr">
        <is>
          <t>World &amp; country reserve history, Q1 2000-Q2 2026</t>
        </is>
      </c>
      <c r="B5" t="inlineStr">
        <is>
          <t>Quarterly</t>
        </is>
      </c>
      <c r="C5" s="17" t="inlineStr">
        <is>
          <t>Quarterly_gold_and_FX_Reserves_Q2_2026.xlsx, 'Gold (Tonnes)' sheet, World row, Q4 snapshot of each year (Q2 2026 for the latest point). CBGA = Central Bank Gold Agreement (1999-2009), under which European central banks coordinated gross sales of gold; reserves have risen almost every year since 2009 as central banks became net buyers.</t>
        </is>
      </c>
      <c r="D5" t="inlineStr">
        <is>
          <t>https://www.gold.org/goldhub/data/gold-reserves-by-country</t>
        </is>
      </c>
    </row>
    <row r="6" ht="45" customHeight="1">
      <c r="A6" t="inlineStr">
        <is>
          <t>Annual net change in reserves by country, 2002-2026 YTD</t>
        </is>
      </c>
      <c r="B6" t="inlineStr">
        <is>
          <t>Annual</t>
        </is>
      </c>
      <c r="C6" s="17" t="inlineStr">
        <is>
          <t>Changes_latest_as_of_Sep2026_IFS.xlsx, 'Annual' sheet (World Gold Council / IMF IFS). 2026 column is year-to-date through the September 2026 publication, not a full calendar year.</t>
        </is>
      </c>
      <c r="D6" t="inlineStr">
        <is>
          <t>https://www.gold.org/goldhub/data/gold-reserves-by-country</t>
        </is>
      </c>
    </row>
    <row r="7" ht="45" customHeight="1">
      <c r="A7" t="inlineStr">
        <is>
          <t>Central bank annual net purchases (estimated), 2019-2025</t>
        </is>
      </c>
      <c r="B7" t="inlineStr">
        <is>
          <t>Annual</t>
        </is>
      </c>
      <c r="C7" s="17" t="inlineStr">
        <is>
          <t>World Gold Council, Gold Demand Trends (Q1 2021, Full Year 2021, Full Year 2023 and Full Year 2025 editions), Metals Focus / Refinitiv GFMS methodology. Central banks have been net buyers every year since 2010; the 2010-2021 annual average was 473t. This 'estimated' series (which includes modelled unreported buying) is a different methodology to the IFS-reported-only annual-change figures above and should not be summed with them.</t>
        </is>
      </c>
      <c r="D7" t="inlineStr">
        <is>
          <t>https://www.gold.org/goldhub/research/gold-demand-trends/gold-demand-trends-full-year-2025/central-banks</t>
        </is>
      </c>
    </row>
    <row r="8" ht="45" customHeight="1">
      <c r="A8" t="inlineStr">
        <is>
          <t>Central Bank Gold Agreement sales, 1999-2019</t>
        </is>
      </c>
      <c r="B8" t="inlineStr">
        <is>
          <t>Annual, by agreement year</t>
        </is>
      </c>
      <c r="C8" s="17" t="inlineStr">
        <is>
          <t>CBGA_sales.xlsx (World Gold Council, sourced from IMF IFS / ECB Weekly Financial Statement), sheets 'CBGA' and 'Sheet1'. Under three successive Central Bank Gold Agreements (1999-2019), European central banks coordinated and capped their gross gold sales; the agreements were quietly left to lapse after 2019 as signatories had become structural net buyers instead.</t>
        </is>
      </c>
      <c r="D8" t="inlineStr">
        <is>
          <t>https://www.gold.org/goldhub/data/gold-reserves-by-country</t>
        </is>
      </c>
    </row>
    <row r="9" ht="45" customHeight="1">
      <c r="A9" t="inlineStr">
        <is>
          <t>Gold mine production by country</t>
        </is>
      </c>
      <c r="B9" t="inlineStr">
        <is>
          <t>2025 estimate (USGS Mineral Commodity Summaries 2026)</t>
        </is>
      </c>
      <c r="C9" s="17" t="inlineStr">
        <is>
          <t>USGS, Mineral Commodity Summaries 2026 - Gold (https://pubs.usgs.gov/periodicals/mcs2026/mcs2026-gold.pdf): world total ~3,300t (2025) vs 3,280t (2024); China, Russia, Australia, Canada and the United States are named as the top five producers, in that order. Full top-15 country tonnages are a secondary compilation of the same USGS dataset (flagged as such since USGS's own PDF table could not be fully extracted here).</t>
        </is>
      </c>
      <c r="D9" t="inlineStr">
        <is>
          <t>https://pubs.usgs.gov/periodicals/mcs2026/mcs2026-gold.pdf</t>
        </is>
      </c>
    </row>
    <row r="10" ht="45" customHeight="1">
      <c r="A10" t="inlineStr">
        <is>
          <t>Gold price history (annual average)</t>
        </is>
      </c>
      <c r="B10" t="inlineStr">
        <is>
          <t>2010-2025</t>
        </is>
      </c>
      <c r="C10" s="17" t="inlineStr">
        <is>
          <t>LBMA Gold Price annual averages, as tabulated by Bangko Sentral ng Pilipinas (2010-2023) and metalcharts.org (2024-2025). 2025 average $3,432/oz, +43.8% y/y, trading range $2,615-$4,550.</t>
        </is>
      </c>
      <c r="D10" t="inlineStr">
        <is>
          <t>https://metalcharts.org/gold-price-history/2025</t>
        </is>
      </c>
    </row>
    <row r="11" ht="45" customHeight="1">
      <c r="A11" t="inlineStr">
        <is>
          <t>Global gold demand by sector &amp; supply</t>
        </is>
      </c>
      <c r="B11" t="inlineStr">
        <is>
          <t>Full Year 2025 (World Gold Council Gold Demand Trends)</t>
        </is>
      </c>
      <c r="C11" s="17" t="inlineStr">
        <is>
          <t>World Gold Council, Gold Demand Trends Full Year 2025 (https://www.gold.org/goldhub/research/gold-demand-trends/gold-demand-trends-full-year-2025): record 5,002t / $555bn total demand; investment demand (ETFs +801t net inflows, bar &amp; coin 1,374t) was the primary driver; jewellery volume -18% y/y even as jewellery value rose to $172bn; central banks added 863t; mine production 3,671.6t (Metals Focus methodology - not directly comparable to the USGS country table above).</t>
        </is>
      </c>
      <c r="D11" t="inlineStr">
        <is>
          <t>https://www.gold.org/goldhub/research/gold-demand-trends/gold-demand-trends-full-year-2025</t>
        </is>
      </c>
    </row>
    <row r="13">
      <c r="A13" s="2" t="inlineStr">
        <is>
          <t>The reserve, reserve-history and net-change datasets in this workbook were downloaded by the project author directly from the World Gold Council's Goldhub 'Gold Reserves by Country' page, which republishes IMF International Financial Statistics (IFS) data. Production, price and demand-by-sector figures come from USGS and the World Gold Council's Gold Demand Trends report, as cited above.</t>
        </is>
      </c>
    </row>
  </sheetData>
  <mergeCells count="1">
    <mergeCell ref="A13:D1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2026-09-16T09:14:53Z</dcterms:created>
  <dcterms:modified xmlns:dcterms="http://purl.org/dc/terms/" xmlns:xsi="http://www.w3.org/2001/XMLSchema-instance" xsi:type="dcterms:W3CDTF">2026-09-16T09:14:53Z</dcterms:modified>
</cp:coreProperties>
</file>